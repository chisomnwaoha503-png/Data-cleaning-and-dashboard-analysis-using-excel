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Chisom\Documents\"/>
    </mc:Choice>
  </mc:AlternateContent>
  <bookViews>
    <workbookView xWindow="0" yWindow="0" windowWidth="19200" windowHeight="8108" activeTab="3"/>
  </bookViews>
  <sheets>
    <sheet name="Sheet1" sheetId="1" r:id="rId1"/>
    <sheet name="Review page" sheetId="3" r:id="rId2"/>
    <sheet name="Pivot table" sheetId="8" r:id="rId3"/>
    <sheet name="Chart" sheetId="9" r:id="rId4"/>
  </sheets>
  <definedNames>
    <definedName name="_xlcn.WorksheetConnection_ReviewpageAG" hidden="1">'Review page'!$A:$G</definedName>
    <definedName name="Slicer_City">#N/A</definedName>
    <definedName name="Slicer_Client">#N/A</definedName>
    <definedName name="Slicer_Contact">#N/A</definedName>
    <definedName name="Timeline_Date">#N/A</definedName>
  </definedNames>
  <calcPr calcId="162913"/>
  <pivotCaches>
    <pivotCache cacheId="1"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eview page!$A:$G"/>
        </x15:modelTables>
      </x15:dataModel>
    </ext>
  </extLst>
</workbook>
</file>

<file path=xl/calcChain.xml><?xml version="1.0" encoding="utf-8"?>
<calcChain xmlns="http://schemas.openxmlformats.org/spreadsheetml/2006/main">
  <c r="J4" i="3" l="1"/>
  <c r="J3" i="3"/>
  <c r="J2" i="3"/>
  <c r="G28" i="3" l="1"/>
  <c r="F28" i="3"/>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Review page!$A:$G" type="102" refreshedVersion="6" minRefreshableVersion="5">
    <extLst>
      <ext xmlns:x15="http://schemas.microsoft.com/office/spreadsheetml/2010/11/main" uri="{DE250136-89BD-433C-8126-D09CA5730AF9}">
        <x15:connection id="Range" autoDelete="1">
          <x15:rangePr sourceName="_xlcn.WorksheetConnection_ReviewpageAG"/>
        </x15:connection>
      </ext>
    </extLst>
  </connection>
</connections>
</file>

<file path=xl/sharedStrings.xml><?xml version="1.0" encoding="utf-8"?>
<sst xmlns="http://schemas.openxmlformats.org/spreadsheetml/2006/main" count="243" uniqueCount="114">
  <si>
    <t>Date</t>
  </si>
  <si>
    <t>Client</t>
  </si>
  <si>
    <t>Contact</t>
  </si>
  <si>
    <t>Department</t>
  </si>
  <si>
    <t>Revenue</t>
  </si>
  <si>
    <t>Profit</t>
  </si>
  <si>
    <t xml:space="preserve">  Harley        Fritz</t>
  </si>
  <si>
    <t>David    Rasmussen</t>
  </si>
  <si>
    <t xml:space="preserve">     Jordan Boone</t>
  </si>
  <si>
    <t>Kylee Townsend</t>
  </si>
  <si>
    <t>Nora Rollins</t>
  </si>
  <si>
    <t xml:space="preserve">     Conor Wise</t>
  </si>
  <si>
    <t xml:space="preserve">   Alia       Thornton</t>
  </si>
  <si>
    <t>Denzel        Flores</t>
  </si>
  <si>
    <t xml:space="preserve">     Arturo Moore</t>
  </si>
  <si>
    <t>Bryce     Carpenter</t>
  </si>
  <si>
    <t>Mik Naam</t>
  </si>
  <si>
    <t>Cloud Tech</t>
  </si>
  <si>
    <t>Operations</t>
  </si>
  <si>
    <t>New York</t>
  </si>
  <si>
    <t>Operation</t>
  </si>
  <si>
    <t>California</t>
  </si>
  <si>
    <t>Big Data</t>
  </si>
  <si>
    <t>City</t>
  </si>
  <si>
    <t>Strategy</t>
  </si>
  <si>
    <t>Texas</t>
  </si>
  <si>
    <t>Florida</t>
  </si>
  <si>
    <t>amazon.com, inc. (xnas:amzn)</t>
  </si>
  <si>
    <t>tesla, inc. (xnas:tsla)</t>
  </si>
  <si>
    <t>netflix, inc. (xnas:nflx)</t>
  </si>
  <si>
    <t>the goldman sachs group, inc. (xnys:gs)</t>
  </si>
  <si>
    <t>jpmorgan chase &amp; co. (xnys:jpm)</t>
  </si>
  <si>
    <t>morgan stanley (xnys:ms)</t>
  </si>
  <si>
    <t>citigroup inc. (xnys:c)</t>
  </si>
  <si>
    <t>bank of america corporation (xnys:bac)</t>
  </si>
  <si>
    <t>walmart inc. (xnys:wmt)</t>
  </si>
  <si>
    <t>target corporation (xnys:tgt)</t>
  </si>
  <si>
    <t>costco wholesale corporation (xnas:cost)</t>
  </si>
  <si>
    <t>mcdonald's corporation (xnys:mcd)</t>
  </si>
  <si>
    <t>verizon communications inc. (xnys:vz)</t>
  </si>
  <si>
    <t>the home depot, inc. (xnys:hd)</t>
  </si>
  <si>
    <t>cisco systems, inc. (xnas:csco)</t>
  </si>
  <si>
    <t>chevron corporation (xnys:cvx)</t>
  </si>
  <si>
    <t>at&amp;t inc. (xnys:t)</t>
  </si>
  <si>
    <t>intel corporation (xnas:intc)</t>
  </si>
  <si>
    <t>general motors company (xnys:gm)</t>
  </si>
  <si>
    <t>microsoft corporation (xnas:msft)</t>
  </si>
  <si>
    <t>comcast corporation (xnas:cmcsa)</t>
  </si>
  <si>
    <t>dell technologies inc. (xnys:dell)</t>
  </si>
  <si>
    <t>johnson &amp; johnson (xnys:jnj)</t>
  </si>
  <si>
    <t>fedex corporation (xnys:fdx)</t>
  </si>
  <si>
    <t>general electric company (xnys:ge)</t>
  </si>
  <si>
    <t>lockheed martin corporation (xnys:lmt)</t>
  </si>
  <si>
    <t xml:space="preserve">     Bill Smith</t>
  </si>
  <si>
    <t>Ken Singh</t>
  </si>
  <si>
    <t>Ivan Hiney</t>
  </si>
  <si>
    <t>Jonha Ma</t>
  </si>
  <si>
    <t>Brendan Wallace</t>
  </si>
  <si>
    <t>Steven     Michael</t>
  </si>
  <si>
    <t>Jose   Roach</t>
  </si>
  <si>
    <t>Franklin Wrigt</t>
  </si>
  <si>
    <t>Bruno Cordova</t>
  </si>
  <si>
    <t>Jaylynn   Napp</t>
  </si>
  <si>
    <t>Bruce Rich</t>
  </si>
  <si>
    <t>Jaidyn Andersen</t>
  </si>
  <si>
    <t>Mark Walm</t>
  </si>
  <si>
    <t>Harry Lee</t>
  </si>
  <si>
    <t>Josh Johnson</t>
  </si>
  <si>
    <t>Bill Smith</t>
  </si>
  <si>
    <t>Harley Fritz</t>
  </si>
  <si>
    <t>David Rasmussen</t>
  </si>
  <si>
    <t>Jordan Boone</t>
  </si>
  <si>
    <t>Conor Wise</t>
  </si>
  <si>
    <t>Steven Michael</t>
  </si>
  <si>
    <t>Jose Roach</t>
  </si>
  <si>
    <t>Alia Thornton</t>
  </si>
  <si>
    <t>Denzel Flores</t>
  </si>
  <si>
    <t>Jaylynn Napp</t>
  </si>
  <si>
    <t>Arturo Moore</t>
  </si>
  <si>
    <t>Bryce Carpenter</t>
  </si>
  <si>
    <t>Amazon.Com, Inc. (Xnas:Amzn)</t>
  </si>
  <si>
    <t>Tesla, Inc. (Xnas:Tsla)</t>
  </si>
  <si>
    <t>Netflix, Inc. (Xnas:Nflx)</t>
  </si>
  <si>
    <t>The Goldman Sachs Group, Inc. (Xnys:Gs)</t>
  </si>
  <si>
    <t>Jpmorgan Chase &amp; Co. (Xnys:Jpm)</t>
  </si>
  <si>
    <t>Morgan Stanley (Xnys:Ms)</t>
  </si>
  <si>
    <t>Citigroup Inc. (Xnys:C)</t>
  </si>
  <si>
    <t>Bank Of America Corporation (Xnys:Bac)</t>
  </si>
  <si>
    <t>Walmart Inc. (Xnys:Wmt)</t>
  </si>
  <si>
    <t>Target Corporation (Xnys:Tgt)</t>
  </si>
  <si>
    <t>Costco Wholesale Corporation (Xnas:Cost)</t>
  </si>
  <si>
    <t>Mcdonald'S Corporation (Xnys:Mcd)</t>
  </si>
  <si>
    <t>Verizon Communications Inc. (Xnys:Vz)</t>
  </si>
  <si>
    <t>The Home Depot, Inc. (Xnys:Hd)</t>
  </si>
  <si>
    <t>Cisco Systems, Inc. (Xnas:Csco)</t>
  </si>
  <si>
    <t>Chevron Corporation (Xnys:Cvx)</t>
  </si>
  <si>
    <t>At&amp;T Inc. (Xnys:T)</t>
  </si>
  <si>
    <t>Intel Corporation (Xnas:Intc)</t>
  </si>
  <si>
    <t>General Motors Company (Xnys:Gm)</t>
  </si>
  <si>
    <t>Microsoft Corporation (Xnas:Msft)</t>
  </si>
  <si>
    <t>Comcast Corporation (Xnas:Cmcsa)</t>
  </si>
  <si>
    <t>Dell Technologies Inc. (Xnys:Dell)</t>
  </si>
  <si>
    <t>Johnson &amp; Johnson (Xnys:Jnj)</t>
  </si>
  <si>
    <t>Fedex Corporation (Xnys:Fdx)</t>
  </si>
  <si>
    <t>General Electric Company (Xnys:Ge)</t>
  </si>
  <si>
    <t>Lockheed Martin Corporation (Xnys:Lmt)</t>
  </si>
  <si>
    <t>Row Labels</t>
  </si>
  <si>
    <t>Grand Total</t>
  </si>
  <si>
    <t xml:space="preserve">Client </t>
  </si>
  <si>
    <t>Sum of Profit</t>
  </si>
  <si>
    <t>Sum of Revenue</t>
  </si>
  <si>
    <t>Total Revenue</t>
  </si>
  <si>
    <t>Total Profit</t>
  </si>
  <si>
    <t>Top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</si>
</sst>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0_);[Red]\(&quot;$&quot;#,##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9">
    <xf numFmtId="0" fontId="0" fillId="0" borderId="0" xfId="0"/>
    <xf numFmtId="14" fontId="0" fillId="0" borderId="0" xfId="0" applyNumberFormat="1"/>
    <xf numFmtId="6" fontId="0" fillId="0" borderId="0" xfId="0" applyNumberFormat="1"/>
    <xf numFmtId="0"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0" fontId="1" fillId="2" borderId="2" xfId="0" applyFont="1" applyFill="1" applyBorder="1" applyAlignment="1">
      <alignment horizontal="left"/>
    </xf>
    <xf numFmtId="0" fontId="1" fillId="2" borderId="2"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openxmlformats.org/officeDocument/2006/relationships/pivotCacheDefinition" Target="pivotCache/pivotCacheDefinition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Revenue</a:t>
            </a:r>
          </a:p>
        </c:rich>
      </c:tx>
      <c:layout>
        <c:manualLayout>
          <c:xMode val="edge"/>
          <c:yMode val="edge"/>
          <c:x val="0.33534429336475463"/>
          <c:y val="3.354296955645365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'Review page'!$F$2:$F$28</c:f>
              <c:numCache>
                <c:formatCode>"$"#,##0_);[Red]\("$"#,##0\)</c:formatCode>
                <c:ptCount val="27"/>
                <c:pt idx="0">
                  <c:v>4500</c:v>
                </c:pt>
                <c:pt idx="1">
                  <c:v>3800</c:v>
                </c:pt>
                <c:pt idx="2">
                  <c:v>3713</c:v>
                </c:pt>
                <c:pt idx="3">
                  <c:v>5000</c:v>
                </c:pt>
                <c:pt idx="4">
                  <c:v>6100</c:v>
                </c:pt>
                <c:pt idx="5">
                  <c:v>4625</c:v>
                </c:pt>
                <c:pt idx="6">
                  <c:v>3800</c:v>
                </c:pt>
                <c:pt idx="7">
                  <c:v>3600</c:v>
                </c:pt>
                <c:pt idx="8">
                  <c:v>5100</c:v>
                </c:pt>
                <c:pt idx="9">
                  <c:v>4750</c:v>
                </c:pt>
                <c:pt idx="10">
                  <c:v>6000</c:v>
                </c:pt>
                <c:pt idx="11">
                  <c:v>4500</c:v>
                </c:pt>
                <c:pt idx="12">
                  <c:v>3713</c:v>
                </c:pt>
                <c:pt idx="13">
                  <c:v>4950</c:v>
                </c:pt>
                <c:pt idx="14">
                  <c:v>4750</c:v>
                </c:pt>
                <c:pt idx="15">
                  <c:v>7320</c:v>
                </c:pt>
                <c:pt idx="16">
                  <c:v>5088</c:v>
                </c:pt>
                <c:pt idx="17">
                  <c:v>4500</c:v>
                </c:pt>
                <c:pt idx="18">
                  <c:v>4250</c:v>
                </c:pt>
                <c:pt idx="19">
                  <c:v>5250</c:v>
                </c:pt>
                <c:pt idx="20">
                  <c:v>6500</c:v>
                </c:pt>
                <c:pt idx="21">
                  <c:v>7500</c:v>
                </c:pt>
                <c:pt idx="22">
                  <c:v>5500</c:v>
                </c:pt>
                <c:pt idx="23">
                  <c:v>4625</c:v>
                </c:pt>
                <c:pt idx="24">
                  <c:v>4500</c:v>
                </c:pt>
                <c:pt idx="25">
                  <c:v>5400</c:v>
                </c:pt>
                <c:pt idx="26">
                  <c:v>4974.3846153846152</c:v>
                </c:pt>
              </c:numCache>
            </c:numRef>
          </c:val>
          <c:extLst>
            <c:ext xmlns:c16="http://schemas.microsoft.com/office/drawing/2014/chart" uri="{C3380CC4-5D6E-409C-BE32-E72D297353CC}">
              <c16:uniqueId val="{00000000-CF80-4C57-8241-1E6DA248C9F9}"/>
            </c:ext>
          </c:extLst>
        </c:ser>
        <c:dLbls>
          <c:showLegendKey val="0"/>
          <c:showVal val="0"/>
          <c:showCatName val="0"/>
          <c:showSerName val="0"/>
          <c:showPercent val="0"/>
          <c:showBubbleSize val="0"/>
        </c:dLbls>
        <c:gapWidth val="150"/>
        <c:shape val="box"/>
        <c:axId val="23642816"/>
        <c:axId val="23652800"/>
        <c:axId val="0"/>
      </c:bar3DChart>
      <c:catAx>
        <c:axId val="236428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652800"/>
        <c:crosses val="autoZero"/>
        <c:auto val="1"/>
        <c:lblAlgn val="ctr"/>
        <c:lblOffset val="100"/>
        <c:noMultiLvlLbl val="0"/>
      </c:catAx>
      <c:valAx>
        <c:axId val="23652800"/>
        <c:scaling>
          <c:orientation val="minMax"/>
        </c:scaling>
        <c:delete val="0"/>
        <c:axPos val="l"/>
        <c:majorGridlines>
          <c:spPr>
            <a:ln w="9525" cap="flat" cmpd="sng" algn="ctr">
              <a:solidFill>
                <a:schemeClr val="dk1">
                  <a:lumMod val="50000"/>
                  <a:lumOff val="5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64281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[chisoms data file.xlsx]Pivot table!PivotTable4</c:name>
    <c:fmtId val="1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Profit By Department</a:t>
            </a: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table'!$A$4:$A$8</c:f>
              <c:strCache>
                <c:ptCount val="4"/>
                <c:pt idx="0">
                  <c:v>Big Data</c:v>
                </c:pt>
                <c:pt idx="1">
                  <c:v>Cloud Tech</c:v>
                </c:pt>
                <c:pt idx="2">
                  <c:v>Operations</c:v>
                </c:pt>
                <c:pt idx="3">
                  <c:v>Strategy</c:v>
                </c:pt>
              </c:strCache>
            </c:strRef>
          </c:cat>
          <c:val>
            <c:numRef>
              <c:f>'Pivot table'!$B$4:$B$8</c:f>
              <c:numCache>
                <c:formatCode>General</c:formatCode>
                <c:ptCount val="4"/>
                <c:pt idx="0">
                  <c:v>6694</c:v>
                </c:pt>
                <c:pt idx="1">
                  <c:v>8076</c:v>
                </c:pt>
                <c:pt idx="2">
                  <c:v>3425</c:v>
                </c:pt>
                <c:pt idx="3">
                  <c:v>8827</c:v>
                </c:pt>
              </c:numCache>
            </c:numRef>
          </c:val>
          <c:extLst>
            <c:ext xmlns:c16="http://schemas.microsoft.com/office/drawing/2014/chart" uri="{C3380CC4-5D6E-409C-BE32-E72D297353CC}">
              <c16:uniqueId val="{00000001-448A-4B55-869E-95CEA19A10E1}"/>
            </c:ext>
          </c:extLst>
        </c:ser>
        <c:dLbls>
          <c:dLblPos val="inEnd"/>
          <c:showLegendKey val="0"/>
          <c:showVal val="1"/>
          <c:showCatName val="0"/>
          <c:showSerName val="0"/>
          <c:showPercent val="0"/>
          <c:showBubbleSize val="0"/>
        </c:dLbls>
        <c:gapWidth val="41"/>
        <c:axId val="23649056"/>
        <c:axId val="23639904"/>
      </c:barChart>
      <c:catAx>
        <c:axId val="2364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3639904"/>
        <c:crosses val="autoZero"/>
        <c:auto val="1"/>
        <c:lblAlgn val="ctr"/>
        <c:lblOffset val="100"/>
        <c:noMultiLvlLbl val="0"/>
      </c:catAx>
      <c:valAx>
        <c:axId val="23639904"/>
        <c:scaling>
          <c:orientation val="minMax"/>
        </c:scaling>
        <c:delete val="1"/>
        <c:axPos val="l"/>
        <c:numFmt formatCode="General" sourceLinked="1"/>
        <c:majorTickMark val="none"/>
        <c:minorTickMark val="none"/>
        <c:tickLblPos val="nextTo"/>
        <c:crossAx val="23649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By Department</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141057367829021"/>
          <c:y val="0.17634259259259263"/>
          <c:w val="0.73754180727409069"/>
          <c:h val="0.72088764946048411"/>
        </c:manualLayout>
      </c:layout>
      <c:barChart>
        <c:barDir val="bar"/>
        <c:grouping val="stacked"/>
        <c:varyColors val="0"/>
        <c:ser>
          <c:idx val="0"/>
          <c:order val="0"/>
          <c:tx>
            <c:strRef>
              <c:f>'Pivot table'!$E$3</c:f>
              <c:strCache>
                <c:ptCount val="1"/>
                <c:pt idx="0">
                  <c:v>Sum of Revenue</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table'!$D$4:$D$8</c:f>
              <c:strCache>
                <c:ptCount val="5"/>
                <c:pt idx="0">
                  <c:v>Big Data</c:v>
                </c:pt>
                <c:pt idx="1">
                  <c:v>Cloud Tech</c:v>
                </c:pt>
                <c:pt idx="2">
                  <c:v>Operations</c:v>
                </c:pt>
                <c:pt idx="3">
                  <c:v>Strategy</c:v>
                </c:pt>
                <c:pt idx="4">
                  <c:v>Grand Total</c:v>
                </c:pt>
              </c:strCache>
            </c:strRef>
          </c:cat>
          <c:val>
            <c:numRef>
              <c:f>'Pivot table'!$E$4:$E$8</c:f>
              <c:numCache>
                <c:formatCode>General</c:formatCode>
                <c:ptCount val="5"/>
                <c:pt idx="0">
                  <c:v>32251</c:v>
                </c:pt>
                <c:pt idx="1">
                  <c:v>32475</c:v>
                </c:pt>
                <c:pt idx="2">
                  <c:v>23070</c:v>
                </c:pt>
                <c:pt idx="3">
                  <c:v>41538</c:v>
                </c:pt>
                <c:pt idx="4">
                  <c:v>129334</c:v>
                </c:pt>
              </c:numCache>
            </c:numRef>
          </c:val>
          <c:extLst>
            <c:ext xmlns:c16="http://schemas.microsoft.com/office/drawing/2014/chart" uri="{C3380CC4-5D6E-409C-BE32-E72D297353CC}">
              <c16:uniqueId val="{00000000-BEE4-46C3-AA63-BA4B0789A18D}"/>
            </c:ext>
          </c:extLst>
        </c:ser>
        <c:dLbls>
          <c:dLblPos val="ctr"/>
          <c:showLegendKey val="0"/>
          <c:showVal val="1"/>
          <c:showCatName val="0"/>
          <c:showSerName val="0"/>
          <c:showPercent val="0"/>
          <c:showBubbleSize val="0"/>
        </c:dLbls>
        <c:gapWidth val="79"/>
        <c:overlap val="100"/>
        <c:axId val="1462942832"/>
        <c:axId val="1462949072"/>
      </c:barChart>
      <c:catAx>
        <c:axId val="146294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62949072"/>
        <c:crosses val="autoZero"/>
        <c:auto val="1"/>
        <c:lblAlgn val="ctr"/>
        <c:lblOffset val="100"/>
        <c:noMultiLvlLbl val="0"/>
      </c:catAx>
      <c:valAx>
        <c:axId val="1462949072"/>
        <c:scaling>
          <c:orientation val="minMax"/>
        </c:scaling>
        <c:delete val="1"/>
        <c:axPos val="b"/>
        <c:numFmt formatCode="General" sourceLinked="1"/>
        <c:majorTickMark val="none"/>
        <c:minorTickMark val="none"/>
        <c:tickLblPos val="nextTo"/>
        <c:crossAx val="1462942832"/>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'Review page'!$G$1</c:f>
              <c:strCache>
                <c:ptCount val="1"/>
                <c:pt idx="0">
                  <c:v>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4BE-4370-A3AA-C1B9EB2F0FA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4BE-4370-A3AA-C1B9EB2F0FA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4BE-4370-A3AA-C1B9EB2F0FA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4BE-4370-A3AA-C1B9EB2F0FA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4BE-4370-A3AA-C1B9EB2F0FA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4BE-4370-A3AA-C1B9EB2F0FA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4BE-4370-A3AA-C1B9EB2F0FA2}"/>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4BE-4370-A3AA-C1B9EB2F0FA2}"/>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4BE-4370-A3AA-C1B9EB2F0FA2}"/>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4BE-4370-A3AA-C1B9EB2F0FA2}"/>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94BE-4370-A3AA-C1B9EB2F0FA2}"/>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94BE-4370-A3AA-C1B9EB2F0FA2}"/>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94BE-4370-A3AA-C1B9EB2F0FA2}"/>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94BE-4370-A3AA-C1B9EB2F0FA2}"/>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94BE-4370-A3AA-C1B9EB2F0FA2}"/>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94BE-4370-A3AA-C1B9EB2F0FA2}"/>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94BE-4370-A3AA-C1B9EB2F0FA2}"/>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94BE-4370-A3AA-C1B9EB2F0FA2}"/>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94BE-4370-A3AA-C1B9EB2F0FA2}"/>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94BE-4370-A3AA-C1B9EB2F0FA2}"/>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94BE-4370-A3AA-C1B9EB2F0FA2}"/>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94BE-4370-A3AA-C1B9EB2F0FA2}"/>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94BE-4370-A3AA-C1B9EB2F0FA2}"/>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94BE-4370-A3AA-C1B9EB2F0FA2}"/>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94BE-4370-A3AA-C1B9EB2F0FA2}"/>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94BE-4370-A3AA-C1B9EB2F0FA2}"/>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94BE-4370-A3AA-C1B9EB2F0FA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val>
            <c:numRef>
              <c:f>'Review page'!$G$2:$G$28</c:f>
              <c:numCache>
                <c:formatCode>"$"#,##0_);[Red]\("$"#,##0\)</c:formatCode>
                <c:ptCount val="27"/>
                <c:pt idx="0">
                  <c:v>598</c:v>
                </c:pt>
                <c:pt idx="1">
                  <c:v>1045</c:v>
                </c:pt>
                <c:pt idx="2">
                  <c:v>1009</c:v>
                </c:pt>
                <c:pt idx="3">
                  <c:v>684</c:v>
                </c:pt>
                <c:pt idx="4">
                  <c:v>544</c:v>
                </c:pt>
                <c:pt idx="5">
                  <c:v>670</c:v>
                </c:pt>
                <c:pt idx="6">
                  <c:v>2045</c:v>
                </c:pt>
                <c:pt idx="7">
                  <c:v>1564</c:v>
                </c:pt>
                <c:pt idx="8">
                  <c:v>1220</c:v>
                </c:pt>
                <c:pt idx="9">
                  <c:v>1435</c:v>
                </c:pt>
                <c:pt idx="10">
                  <c:v>998</c:v>
                </c:pt>
                <c:pt idx="11">
                  <c:v>780</c:v>
                </c:pt>
                <c:pt idx="12">
                  <c:v>1222</c:v>
                </c:pt>
                <c:pt idx="13">
                  <c:v>1065</c:v>
                </c:pt>
                <c:pt idx="14">
                  <c:v>810</c:v>
                </c:pt>
                <c:pt idx="15">
                  <c:v>933</c:v>
                </c:pt>
                <c:pt idx="16">
                  <c:v>655</c:v>
                </c:pt>
                <c:pt idx="17">
                  <c:v>722</c:v>
                </c:pt>
                <c:pt idx="18">
                  <c:v>901</c:v>
                </c:pt>
                <c:pt idx="19">
                  <c:v>1349</c:v>
                </c:pt>
                <c:pt idx="20">
                  <c:v>1288</c:v>
                </c:pt>
                <c:pt idx="21">
                  <c:v>1664</c:v>
                </c:pt>
                <c:pt idx="22">
                  <c:v>1320</c:v>
                </c:pt>
                <c:pt idx="23">
                  <c:v>1001</c:v>
                </c:pt>
                <c:pt idx="24">
                  <c:v>960</c:v>
                </c:pt>
                <c:pt idx="25">
                  <c:v>540</c:v>
                </c:pt>
                <c:pt idx="26">
                  <c:v>27022</c:v>
                </c:pt>
              </c:numCache>
            </c:numRef>
          </c:val>
          <c:extLst>
            <c:ext xmlns:c16="http://schemas.microsoft.com/office/drawing/2014/chart" uri="{C3380CC4-5D6E-409C-BE32-E72D297353CC}">
              <c16:uniqueId val="{00000036-94BE-4370-A3AA-C1B9EB2F0F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66675</xdr:colOff>
      <xdr:row>0</xdr:row>
      <xdr:rowOff>0</xdr:rowOff>
    </xdr:from>
    <xdr:to>
      <xdr:col>18</xdr:col>
      <xdr:colOff>509589</xdr:colOff>
      <xdr:row>7</xdr:row>
      <xdr:rowOff>28575</xdr:rowOff>
    </xdr:to>
    <mc:AlternateContent xmlns:mc="http://schemas.openxmlformats.org/markup-compatibility/2006" xmlns:tsle="http://schemas.microsoft.com/office/drawing/2012/timeslicer">
      <mc:Choice Requires="tsle">
        <xdr:graphicFrame macro="">
          <xdr:nvGraphicFramePr>
            <xdr:cNvPr id="5"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9782175" y="0"/>
              <a:ext cx="2386014" cy="12954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2</xdr:col>
      <xdr:colOff>619126</xdr:colOff>
      <xdr:row>7</xdr:row>
      <xdr:rowOff>133349</xdr:rowOff>
    </xdr:from>
    <xdr:to>
      <xdr:col>9</xdr:col>
      <xdr:colOff>95251</xdr:colOff>
      <xdr:row>20</xdr:row>
      <xdr:rowOff>52387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271465</xdr:colOff>
      <xdr:row>7</xdr:row>
      <xdr:rowOff>114300</xdr:rowOff>
    </xdr:from>
    <xdr:to>
      <xdr:col>15</xdr:col>
      <xdr:colOff>490540</xdr:colOff>
      <xdr:row>20</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609600</xdr:colOff>
      <xdr:row>23</xdr:row>
      <xdr:rowOff>19052</xdr:rowOff>
    </xdr:from>
    <xdr:to>
      <xdr:col>9</xdr:col>
      <xdr:colOff>76200</xdr:colOff>
      <xdr:row>38</xdr:row>
      <xdr:rowOff>47627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280986</xdr:colOff>
      <xdr:row>23</xdr:row>
      <xdr:rowOff>0</xdr:rowOff>
    </xdr:from>
    <xdr:to>
      <xdr:col>15</xdr:col>
      <xdr:colOff>500061</xdr:colOff>
      <xdr:row>38</xdr:row>
      <xdr:rowOff>28575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7</xdr:row>
      <xdr:rowOff>100013</xdr:rowOff>
    </xdr:from>
    <xdr:to>
      <xdr:col>2</xdr:col>
      <xdr:colOff>623887</xdr:colOff>
      <xdr:row>16</xdr:row>
      <xdr:rowOff>9525</xdr:rowOff>
    </xdr:to>
    <mc:AlternateContent xmlns:mc="http://schemas.openxmlformats.org/markup-compatibility/2006" xmlns:a14="http://schemas.microsoft.com/office/drawing/2010/main">
      <mc:Choice Requires="a14">
        <xdr:graphicFrame macro="">
          <xdr:nvGraphicFramePr>
            <xdr:cNvPr id="15"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1366838"/>
              <a:ext cx="1919287" cy="1538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xdr:rowOff>
    </xdr:from>
    <xdr:to>
      <xdr:col>2</xdr:col>
      <xdr:colOff>614362</xdr:colOff>
      <xdr:row>33</xdr:row>
      <xdr:rowOff>52389</xdr:rowOff>
    </xdr:to>
    <mc:AlternateContent xmlns:mc="http://schemas.openxmlformats.org/markup-compatibility/2006" xmlns:a14="http://schemas.microsoft.com/office/drawing/2010/main">
      <mc:Choice Requires="a14">
        <xdr:graphicFrame macro="">
          <xdr:nvGraphicFramePr>
            <xdr:cNvPr id="17" name="Contact 1"/>
            <xdr:cNvGraphicFramePr/>
          </xdr:nvGraphicFramePr>
          <xdr:xfrm>
            <a:off x="0" y="0"/>
            <a:ext cx="0" cy="0"/>
          </xdr:xfrm>
          <a:graphic>
            <a:graphicData uri="http://schemas.microsoft.com/office/drawing/2010/slicer">
              <sle:slicer xmlns:sle="http://schemas.microsoft.com/office/drawing/2010/slicer" name="Contact 1"/>
            </a:graphicData>
          </a:graphic>
        </xdr:graphicFrame>
      </mc:Choice>
      <mc:Fallback xmlns="">
        <xdr:sp macro="" textlink="">
          <xdr:nvSpPr>
            <xdr:cNvPr id="0" name=""/>
            <xdr:cNvSpPr>
              <a:spLocks noTextEdit="1"/>
            </xdr:cNvSpPr>
          </xdr:nvSpPr>
          <xdr:spPr>
            <a:xfrm>
              <a:off x="0" y="2895602"/>
              <a:ext cx="1909762" cy="3128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33338</xdr:rowOff>
    </xdr:from>
    <xdr:to>
      <xdr:col>2</xdr:col>
      <xdr:colOff>609600</xdr:colOff>
      <xdr:row>47</xdr:row>
      <xdr:rowOff>38100</xdr:rowOff>
    </xdr:to>
    <mc:AlternateContent xmlns:mc="http://schemas.openxmlformats.org/markup-compatibility/2006" xmlns:a14="http://schemas.microsoft.com/office/drawing/2010/main">
      <mc:Choice Requires="a14">
        <xdr:graphicFrame macro="">
          <xdr:nvGraphicFramePr>
            <xdr:cNvPr id="18" name="Client 1"/>
            <xdr:cNvGraphicFramePr/>
          </xdr:nvGraphicFramePr>
          <xdr:xfrm>
            <a:off x="0" y="0"/>
            <a:ext cx="0" cy="0"/>
          </xdr:xfrm>
          <a:graphic>
            <a:graphicData uri="http://schemas.microsoft.com/office/drawing/2010/slicer">
              <sle:slicer xmlns:sle="http://schemas.microsoft.com/office/drawing/2010/slicer" name="Client 1"/>
            </a:graphicData>
          </a:graphic>
        </xdr:graphicFrame>
      </mc:Choice>
      <mc:Fallback xmlns="">
        <xdr:sp macro="" textlink="">
          <xdr:nvSpPr>
            <xdr:cNvPr id="0" name=""/>
            <xdr:cNvSpPr>
              <a:spLocks noTextEdit="1"/>
            </xdr:cNvSpPr>
          </xdr:nvSpPr>
          <xdr:spPr>
            <a:xfrm>
              <a:off x="0" y="6005513"/>
              <a:ext cx="1905000" cy="2538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15</xdr:col>
      <xdr:colOff>80963</xdr:colOff>
      <xdr:row>3</xdr:row>
      <xdr:rowOff>0</xdr:rowOff>
    </xdr:to>
    <xdr:sp macro="" textlink="">
      <xdr:nvSpPr>
        <xdr:cNvPr id="3" name="Rectangle 2"/>
        <xdr:cNvSpPr/>
      </xdr:nvSpPr>
      <xdr:spPr>
        <a:xfrm>
          <a:off x="0" y="0"/>
          <a:ext cx="9796463" cy="542925"/>
        </a:xfrm>
        <a:prstGeom prst="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r>
            <a:rPr lang="en-US" sz="1800" b="1">
              <a:ln>
                <a:solidFill>
                  <a:sysClr val="windowText" lastClr="000000"/>
                </a:solidFill>
              </a:ln>
              <a:latin typeface="+mn-lt"/>
            </a:rPr>
            <a:t>                                                               Identifying  The Most</a:t>
          </a:r>
          <a:r>
            <a:rPr lang="en-US" sz="1800" b="1" baseline="0">
              <a:ln>
                <a:solidFill>
                  <a:sysClr val="windowText" lastClr="000000"/>
                </a:solidFill>
              </a:ln>
              <a:latin typeface="+mn-lt"/>
            </a:rPr>
            <a:t> Efficient Company </a:t>
          </a:r>
          <a:endParaRPr lang="en-US" sz="1800" b="1">
            <a:ln>
              <a:solidFill>
                <a:sysClr val="windowText" lastClr="000000"/>
              </a:solidFill>
            </a:ln>
            <a:latin typeface="+mn-lt"/>
          </a:endParaRPr>
        </a:p>
      </xdr:txBody>
    </xdr:sp>
    <xdr:clientData/>
  </xdr:twoCellAnchor>
  <xdr:twoCellAnchor>
    <xdr:from>
      <xdr:col>0</xdr:col>
      <xdr:colOff>4762</xdr:colOff>
      <xdr:row>2</xdr:row>
      <xdr:rowOff>171451</xdr:rowOff>
    </xdr:from>
    <xdr:to>
      <xdr:col>3</xdr:col>
      <xdr:colOff>38100</xdr:colOff>
      <xdr:row>6</xdr:row>
      <xdr:rowOff>90487</xdr:rowOff>
    </xdr:to>
    <xdr:sp macro="" textlink="">
      <xdr:nvSpPr>
        <xdr:cNvPr id="4" name="TextBox 3"/>
        <xdr:cNvSpPr txBox="1"/>
      </xdr:nvSpPr>
      <xdr:spPr>
        <a:xfrm>
          <a:off x="4762" y="533401"/>
          <a:ext cx="1976438" cy="64293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a:t>
          </a:r>
          <a:r>
            <a:rPr lang="en-US" sz="1800" b="1" baseline="0"/>
            <a:t> Revenue</a:t>
          </a:r>
        </a:p>
        <a:p>
          <a:r>
            <a:rPr lang="en-US" sz="1600" b="1"/>
            <a:t>$4,500</a:t>
          </a:r>
        </a:p>
      </xdr:txBody>
    </xdr:sp>
    <xdr:clientData/>
  </xdr:twoCellAnchor>
  <xdr:twoCellAnchor>
    <xdr:from>
      <xdr:col>5</xdr:col>
      <xdr:colOff>433387</xdr:colOff>
      <xdr:row>2</xdr:row>
      <xdr:rowOff>171451</xdr:rowOff>
    </xdr:from>
    <xdr:to>
      <xdr:col>8</xdr:col>
      <xdr:colOff>409575</xdr:colOff>
      <xdr:row>7</xdr:row>
      <xdr:rowOff>0</xdr:rowOff>
    </xdr:to>
    <xdr:sp macro="" textlink="">
      <xdr:nvSpPr>
        <xdr:cNvPr id="6" name="TextBox 5"/>
        <xdr:cNvSpPr txBox="1"/>
      </xdr:nvSpPr>
      <xdr:spPr>
        <a:xfrm>
          <a:off x="3671887" y="533401"/>
          <a:ext cx="1919288" cy="73342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Profit</a:t>
          </a:r>
        </a:p>
        <a:p>
          <a:r>
            <a:rPr lang="en-US" sz="1800" b="1"/>
            <a:t>$27,022</a:t>
          </a:r>
        </a:p>
      </xdr:txBody>
    </xdr:sp>
    <xdr:clientData/>
  </xdr:twoCellAnchor>
  <xdr:twoCellAnchor>
    <xdr:from>
      <xdr:col>10</xdr:col>
      <xdr:colOff>57150</xdr:colOff>
      <xdr:row>2</xdr:row>
      <xdr:rowOff>176213</xdr:rowOff>
    </xdr:from>
    <xdr:to>
      <xdr:col>13</xdr:col>
      <xdr:colOff>228600</xdr:colOff>
      <xdr:row>6</xdr:row>
      <xdr:rowOff>142875</xdr:rowOff>
    </xdr:to>
    <xdr:sp macro="" textlink="">
      <xdr:nvSpPr>
        <xdr:cNvPr id="9" name="Rectangle 8"/>
        <xdr:cNvSpPr/>
      </xdr:nvSpPr>
      <xdr:spPr>
        <a:xfrm>
          <a:off x="6534150" y="538163"/>
          <a:ext cx="2114550" cy="6905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rPr>
            <a:t>Top  Revenue</a:t>
          </a:r>
        </a:p>
        <a:p>
          <a:pPr algn="l"/>
          <a:r>
            <a:rPr lang="en-US" sz="1800" b="1">
              <a:solidFill>
                <a:sysClr val="windowText" lastClr="000000"/>
              </a:solidFill>
            </a:rPr>
            <a:t>$7,500</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Chisom" refreshedDate="46115.910537384261" backgroundQuery="1" createdVersion="6" refreshedVersion="6" minRefreshableVersion="3" recordCount="0" supportSubquery="1" supportAdvancedDrill="1">
  <cacheSource type="external" connectionId="1"/>
  <cacheFields count="5">
    <cacheField name="[Measures].[Sum of Profit]" caption="Sum of Profit" numFmtId="0" hierarchy="9" level="32767"/>
    <cacheField name="[Range].[Department].[Department]" caption="Department" numFmtId="0" hierarchy="3" level="1">
      <sharedItems count="4">
        <s v="Big Data"/>
        <s v="Cloud Tech"/>
        <s v="Operations"/>
        <s v="Strategy"/>
      </sharedItems>
    </cacheField>
    <cacheField name="[Set1].[Range].[Department].[Department]" caption="Department" numFmtId="0" hierarchy="16">
      <sharedItems count="4">
        <s v="Big Data"/>
        <s v="Cloud Tech"/>
        <s v="Operations"/>
        <s v="Strategy"/>
      </sharedItems>
    </cacheField>
    <cacheField name="[Range].[Date].[Date]" caption="Date" numFmtId="0" level="1">
      <sharedItems containsSemiMixedTypes="0" containsNonDate="0" containsString="0"/>
    </cacheField>
    <cacheField name="[Range].[Contact].[Contact]" caption="Contact" numFmtId="0" hierarchy="2" level="1">
      <sharedItems containsSemiMixedTypes="0" containsNonDate="0" containsString="0"/>
    </cacheField>
  </cacheFields>
  <cacheHierarchies count="17">
    <cacheHierarchy uniqueName="[Range].[Date]" caption="Date" attribute="1" time="1" defaultMemberUniqueName="[Range].[Date].[All]" allUniqueName="[Range].[Date].[All]" dimensionUniqueName="[Range]" displayFolder="" count="2" memberValueDatatype="7" unbalanced="0">
      <fieldsUsage count="2">
        <fieldUsage x="-1"/>
        <fieldUsage x="3"/>
      </fieldsUsage>
    </cacheHierarchy>
    <cacheHierarchy uniqueName="[Range].[Client]" caption="Client" attribute="1" defaultMemberUniqueName="[Range].[Client].[All]" allUniqueName="[Range].[Client].[All]" dimensionUniqueName="[Range]" displayFolder="" count="2" memberValueDatatype="130" unbalanced="0"/>
    <cacheHierarchy uniqueName="[Range].[Contact]" caption="Contact" attribute="1" defaultMemberUniqueName="[Range].[Contact].[All]" allUniqueName="[Range].[Contact].[All]" dimensionUniqueName="[Range]" displayFolder="" count="2" memberValueDatatype="130" unbalanced="0">
      <fieldsUsage count="2">
        <fieldUsage x="-1"/>
        <fieldUsage x="4"/>
      </fieldsUsage>
    </cacheHierarchy>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2" memberValueDatatype="130" unbalanced="0"/>
    <cacheHierarchy uniqueName="[Range].[Revenue]" caption="Revenue" attribute="1" defaultMemberUniqueName="[Range].[Revenue].[All]" allUniqueName="[Range].[Revenue].[All]" dimensionUniqueName="[Range]" displayFolder="" count="2" memberValueDatatype="20" unbalanced="0"/>
    <cacheHierarchy uniqueName="[Range].[Profit]" caption="Profit" attribute="1" defaultMemberUniqueName="[Range].[Profit].[All]" allUniqueName="[Range].[Profit].[All]" dimensionUniqueName="[Range]" displayFolder="" count="2" memberValueDatatype="20" unbalanced="0"/>
    <cacheHierarchy uniqueName="[Measures].[Count of Revenue]" caption="Count of Revenue" measure="1" displayFolder="" measureGroup="Range" count="0">
      <extLst>
        <ext xmlns:x15="http://schemas.microsoft.com/office/spreadsheetml/2010/11/main" uri="{B97F6D7D-B522-45F9-BDA1-12C45D357490}">
          <x15:cacheHierarchy aggregatedColumn="5"/>
        </ext>
      </extLst>
    </cacheHierarchy>
    <cacheHierarchy uniqueName="[Measures].[Count of City]" caption="Count of City" measure="1" displayFolder="" measureGroup="Range" count="0">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oneField="1">
      <fieldsUsage count="1">
        <fieldUsage x="0"/>
      </fieldsUsage>
      <extLst>
        <ext xmlns:x15="http://schemas.microsoft.com/office/spreadsheetml/2010/11/main" uri="{B97F6D7D-B522-45F9-BDA1-12C45D357490}">
          <x15:cacheHierarchy aggregatedColumn="6"/>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5"/>
        </ext>
      </extLst>
    </cacheHierarchy>
    <cacheHierarchy uniqueName="[Measures].[Count of Contact]" caption="Count of Contact" measure="1" displayFolder="" measureGroup="Range" count="0">
      <extLst>
        <ext xmlns:x15="http://schemas.microsoft.com/office/spreadsheetml/2010/11/main" uri="{B97F6D7D-B522-45F9-BDA1-12C45D357490}">
          <x15:cacheHierarchy aggregatedColumn="2"/>
        </ext>
      </extLst>
    </cacheHierarchy>
    <cacheHierarchy uniqueName="[Measures].[Count of Client]" caption="Count of Client" measure="1" displayFolder="" measureGroup="Range" count="0">
      <extLst>
        <ext xmlns:x15="http://schemas.microsoft.com/office/spreadsheetml/2010/11/main" uri="{B97F6D7D-B522-45F9-BDA1-12C45D357490}">
          <x15:cacheHierarchy aggregatedColumn="1"/>
        </ext>
      </extLst>
    </cacheHierarchy>
    <cacheHierarchy uniqueName="[Measures].[Sum of Date]" caption="Sum of D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Set1]" caption="Set1" set="1" parentSet="3" displayFolder="" count="0" unbalanced="0" unbalancedGroup="0">
      <fieldsUsage count="1">
        <fieldUsage x="2"/>
      </fieldsUsage>
      <extLst>
        <ext xmlns:x14="http://schemas.microsoft.com/office/spreadsheetml/2009/9/main" uri="{8CF416AD-EC4C-4aba-99F5-12A058AE0983}">
          <x14:cacheHierarchy flattenHierarchies="0" hierarchizeDistinct="0">
            <x14:setLevels count="1">
              <x14:setLevel hierarchy="3"/>
            </x14:setLevels>
          </x14:cacheHierarchy>
        </ext>
      </extLst>
    </cacheHierarchy>
  </cacheHierarchies>
  <kpis count="0"/>
  <calculatedMembers count="1">
    <calculatedMember name="[Set1]" mdx="{([Range].[Department].&amp;[Big Data]),([Range].[Department].&amp;[Cloud Tech]),([Range].[Department].&amp;[Operations]),([Range].[Department].&amp;[Strategy]),([Range].[Department].[All])}" set="1">
      <extLst>
        <ext xmlns:x14="http://schemas.microsoft.com/office/spreadsheetml/2009/9/main" uri="{0C70D0D5-359C-4a49-802D-23BBF952B5CE}">
          <x14:calculatedMember flattenHierarchies="0" hierarchizeDistinct="0">
            <x14:tupleSet rowCount="5">
              <x14:headers>
                <x14:header uniqueName="[Range].[Department].[Department]" hierarchyName="[Range].[Department]"/>
              </x14:headers>
              <x14:rows>
                <x14:row>
                  <x14:rowItem u="[Range].[Department].&amp;[Big Data]" d="Big Data"/>
                </x14:row>
                <x14:row>
                  <x14:rowItem u="[Range].[Department].&amp;[Cloud Tech]" d="Cloud Tech"/>
                </x14:row>
                <x14:row>
                  <x14:rowItem u="[Range].[Department].&amp;[Operations]" d="Operations"/>
                </x14:row>
                <x14:row>
                  <x14:rowItem u="[Range].[Department].&amp;[Strategy]" d="Strategy"/>
                </x14:row>
                <x14:row>
                  <x14:rowItem/>
                </x14:row>
              </x14:rows>
            </x14:tupleSet>
          </x14:calculatedMember>
        </ext>
      </extLst>
    </calculatedMember>
  </calculatedMembers>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Chisom" refreshedDate="46115.903295717595"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Date]" caption="Date" attribute="1" time="1" defaultMemberUniqueName="[Range].[Date].[All]" allUniqueName="[Range].[Date].[All]" dimensionUniqueName="[Range]" displayFolder="" count="0" memberValueDatatype="7" unbalanced="0"/>
    <cacheHierarchy uniqueName="[Range].[Client]" caption="Client" attribute="1" defaultMemberUniqueName="[Range].[Client].[All]" allUniqueName="[Range].[Client].[All]" dimensionUniqueName="[Range]" displayFolder="" count="2" memberValueDatatype="130" unbalanced="0"/>
    <cacheHierarchy uniqueName="[Range].[Contact]" caption="Contact" attribute="1" defaultMemberUniqueName="[Range].[Contact].[All]" allUniqueName="[Range].[Contact].[All]" dimensionUniqueName="[Range]" displayFolder="" count="2"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Measures].[Count of Revenue]" caption="Count of Revenue" measure="1" displayFolder="" measureGroup="Range" count="0">
      <extLst>
        <ext xmlns:x15="http://schemas.microsoft.com/office/spreadsheetml/2010/11/main" uri="{B97F6D7D-B522-45F9-BDA1-12C45D357490}">
          <x15:cacheHierarchy aggregatedColumn="5"/>
        </ext>
      </extLst>
    </cacheHierarchy>
    <cacheHierarchy uniqueName="[Measures].[Count of City]" caption="Count of City" measure="1" displayFolder="" measureGroup="Range" count="0">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6"/>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5"/>
        </ext>
      </extLst>
    </cacheHierarchy>
    <cacheHierarchy uniqueName="[Measures].[Count of Contact]" caption="Count of Contact" measure="1" displayFolder="" measureGroup="Range" count="0">
      <extLst>
        <ext xmlns:x15="http://schemas.microsoft.com/office/spreadsheetml/2010/11/main" uri="{B97F6D7D-B522-45F9-BDA1-12C45D357490}">
          <x15:cacheHierarchy aggregatedColumn="2"/>
        </ext>
      </extLst>
    </cacheHierarchy>
    <cacheHierarchy uniqueName="[Measures].[Count of Client]" caption="Count of Client" measure="1" displayFolder="" measureGroup="Range" count="0">
      <extLst>
        <ext xmlns:x15="http://schemas.microsoft.com/office/spreadsheetml/2010/11/main" uri="{B97F6D7D-B522-45F9-BDA1-12C45D357490}">
          <x15:cacheHierarchy aggregatedColumn="1"/>
        </ext>
      </extLst>
    </cacheHierarchy>
    <cacheHierarchy uniqueName="[Measures].[Sum of Date]" caption="Sum of D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Set1]" caption="Set1" set="1"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Range].[Department].&amp;[Big Data]),([Range].[Department].&amp;[Cloud Tech]),([Range].[Department].&amp;[Operations]),([Range].[Department].&amp;[Strategy]),([Range].[Department].[All])}" set="1">
      <extLst>
        <ext xmlns:x14="http://schemas.microsoft.com/office/spreadsheetml/2009/9/main" uri="{0C70D0D5-359C-4a49-802D-23BBF952B5CE}">
          <x14:calculatedMember flattenHierarchies="0" hierarchizeDistinct="0">
            <x14:tupleSet rowCount="5">
              <x14:headers>
                <x14:header uniqueName="[Range].[Department].[Department]" hierarchyName="[Range].[Department]"/>
              </x14:headers>
              <x14:rows>
                <x14:row>
                  <x14:rowItem u="[Range].[Department].&amp;[Big Data]" d="Big Data"/>
                </x14:row>
                <x14:row>
                  <x14:rowItem u="[Range].[Department].&amp;[Cloud Tech]" d="Cloud Tech"/>
                </x14:row>
                <x14:row>
                  <x14:rowItem u="[Range].[Department].&amp;[Operations]" d="Operations"/>
                </x14:row>
                <x14:row>
                  <x14:rowItem u="[Range].[Department].&amp;[Strategy]" d="Strategy"/>
                </x14:row>
                <x14:row>
                  <x14:rowItem/>
                </x14:row>
              </x14:rows>
            </x14:tupleSet>
          </x14:calculatedMember>
        </ext>
      </extLst>
    </calculatedMember>
  </calculatedMembers>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hisom" refreshedDate="46115.872899884256"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Date]" caption="Date" attribute="1" time="1" defaultMemberUniqueName="[Range].[Date].[All]" allUniqueName="[Range].[Date].[All]" dimensionUniqueName="[Range]" displayFolder="" count="2" memberValueDatatype="7" unbalanced="0"/>
    <cacheHierarchy uniqueName="[Range].[Client]" caption="Client" attribute="1" defaultMemberUniqueName="[Range].[Client].[All]" allUniqueName="[Range].[Client].[All]" dimensionUniqueName="[Range]" displayFolder="" count="0" memberValueDatatype="130" unbalanced="0"/>
    <cacheHierarchy uniqueName="[Range].[Contact]" caption="Contact" attribute="1" defaultMemberUniqueName="[Range].[Contact].[All]" allUniqueName="[Range].[Contact].[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Measures].[Count of Revenue]" caption="Count of Revenue" measure="1" displayFolder="" measureGroup="Range" count="0">
      <extLst>
        <ext xmlns:x15="http://schemas.microsoft.com/office/spreadsheetml/2010/11/main" uri="{B97F6D7D-B522-45F9-BDA1-12C45D357490}">
          <x15:cacheHierarchy aggregatedColumn="5"/>
        </ext>
      </extLst>
    </cacheHierarchy>
    <cacheHierarchy uniqueName="[Measures].[Count of City]" caption="Count of City" measure="1" displayFolder="" measureGroup="Range" count="0">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extLst>
        <ext xmlns:x15="http://schemas.microsoft.com/office/spreadsheetml/2010/11/main" uri="{B97F6D7D-B522-45F9-BDA1-12C45D357490}">
          <x15:cacheHierarchy aggregatedColumn="6"/>
        </ext>
      </extLst>
    </cacheHierarchy>
    <cacheHierarchy uniqueName="[Measures].[Sum of Revenue]" caption="Sum of Revenue" measure="1" displayFolder="" measureGroup="Range" count="0">
      <extLst>
        <ext xmlns:x15="http://schemas.microsoft.com/office/spreadsheetml/2010/11/main" uri="{B97F6D7D-B522-45F9-BDA1-12C45D357490}">
          <x15:cacheHierarchy aggregatedColumn="5"/>
        </ext>
      </extLst>
    </cacheHierarchy>
    <cacheHierarchy uniqueName="[Measures].[Count of Contact]" caption="Count of Contact" measure="1" displayFolder="" measureGroup="Range" count="0">
      <extLst>
        <ext xmlns:x15="http://schemas.microsoft.com/office/spreadsheetml/2010/11/main" uri="{B97F6D7D-B522-45F9-BDA1-12C45D357490}">
          <x15:cacheHierarchy aggregatedColumn="2"/>
        </ext>
      </extLst>
    </cacheHierarchy>
    <cacheHierarchy uniqueName="[Measures].[Count of Client]" caption="Count of Client" measure="1" displayFolder="" measureGroup="Range" count="0">
      <extLst>
        <ext xmlns:x15="http://schemas.microsoft.com/office/spreadsheetml/2010/11/main" uri="{B97F6D7D-B522-45F9-BDA1-12C45D357490}">
          <x15:cacheHierarchy aggregatedColumn="1"/>
        </ext>
      </extLst>
    </cacheHierarchy>
    <cacheHierarchy uniqueName="[Measures].[Sum of Date]" caption="Sum of D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Set1]" caption="Set1" set="1"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Range].[Department].&amp;[Big Data]),([Range].[Department].&amp;[Cloud Tech]),([Range].[Department].&amp;[Operations]),([Range].[Department].&amp;[Strategy]),([Range].[Department].[All])}" set="1">
      <extLst>
        <ext xmlns:x14="http://schemas.microsoft.com/office/spreadsheetml/2009/9/main" uri="{0C70D0D5-359C-4a49-802D-23BBF952B5CE}">
          <x14:calculatedMember flattenHierarchies="0" hierarchizeDistinct="0">
            <x14:tupleSet rowCount="5">
              <x14:headers>
                <x14:header uniqueName="[Range].[Department].[Department]" hierarchyName="[Range].[Department]"/>
              </x14:headers>
              <x14:rows>
                <x14:row>
                  <x14:rowItem u="[Range].[Department].&amp;[Big Data]" d="Big Data"/>
                </x14:row>
                <x14:row>
                  <x14:rowItem u="[Range].[Department].&amp;[Cloud Tech]" d="Cloud Tech"/>
                </x14:row>
                <x14:row>
                  <x14:rowItem u="[Range].[Department].&amp;[Operations]" d="Operations"/>
                </x14:row>
                <x14:row>
                  <x14:rowItem u="[Range].[Department].&amp;[Strategy]" d="Strategy"/>
                </x14:row>
                <x14:row>
                  <x14:rowItem/>
                </x14:row>
              </x14:rows>
            </x14:tupleSet>
          </x14:calculatedMember>
        </ext>
      </extLst>
    </calculatedMember>
  </calculatedMembers>
  <extLst>
    <ext xmlns:x14="http://schemas.microsoft.com/office/spreadsheetml/2009/9/main" uri="{725AE2AE-9491-48be-B2B4-4EB974FC3084}">
      <x14:pivotCacheDefinition pivotCacheId="1"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tag="277d92eb-efcc-4d8d-a4c0-278e3cba8554" updatedVersion="6" minRefreshableVersion="5" useAutoFormatting="1" subtotalHiddenItems="1" itemPrintTitles="1" createdVersion="6" indent="0" outline="1" outlineData="1" multipleFieldFilters="0" chartFormat="19">
  <location ref="A3:B8" firstHeaderRow="1" firstDataRow="1" firstDataCol="1"/>
  <pivotFields count="5">
    <pivotField dataField="1" showAll="0"/>
    <pivotField allDrilled="1" showAll="0" sortType="ascending" defaultAttributeDrillState="1">
      <items count="5">
        <item x="0"/>
        <item x="1"/>
        <item x="2"/>
        <item x="3"/>
        <item t="default"/>
      </items>
    </pivotField>
    <pivotField axis="axisRow" allDrilled="1" showAll="0" dataSourceSort="1">
      <items count="5">
        <item x="0"/>
        <item x="1"/>
        <item x="2"/>
        <item x="3"/>
        <item t="default"/>
      </items>
    </pivotField>
    <pivotField allDrilled="1" showAll="0" dataSourceSort="1" defaultAttributeDrillState="1">
      <items count="1">
        <item t="default"/>
      </items>
    </pivotField>
    <pivotField allDrilled="1" showAll="0" dataSourceSort="1" defaultAttributeDrillState="1"/>
  </pivotFields>
  <rowFields count="1">
    <field x="2"/>
  </rowFields>
  <rowItems count="5">
    <i>
      <x/>
    </i>
    <i>
      <x v="1"/>
    </i>
    <i>
      <x v="2"/>
    </i>
    <i>
      <x v="3"/>
    </i>
    <i t="grand">
      <x/>
    </i>
  </rowItems>
  <colItems count="1">
    <i/>
  </colItems>
  <dataFields count="1">
    <dataField name="Sum of Profit" fld="0" baseField="0" baseItem="0"/>
  </dataFields>
  <chartFormats count="1">
    <chartFormat chart="14" format="4" series="1">
      <pivotArea type="data" outline="0" fieldPosition="0">
        <references count="1">
          <reference field="4294967294" count="1" selected="0">
            <x v="0"/>
          </reference>
        </references>
      </pivotArea>
    </chartFormat>
  </chartFormat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pivotHierarchies>
  <pivotTableStyleInfo name="PivotStyleLight16" showRowHeaders="1" showColHeaders="1" showRowStripes="0" showColStripes="0" showLastColumn="1"/>
  <filters count="1">
    <filter fld="3" type="dateBetween" evalOrder="-1" id="23" name="[Range].[Date]">
      <autoFilter ref="A1">
        <filterColumn colId="0">
          <customFilters and="1">
            <customFilter operator="greaterThanOrEqual" val="44958"/>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view page!$A:$G">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Range].[City]">
  <pivotTables>
    <pivotTable tabId="8" name="PivotTable4"/>
  </pivotTables>
  <data>
    <olap pivotCacheId="2">
      <levels count="2">
        <level uniqueName="[Range].[City].[(All)]" sourceCaption="(All)" count="0"/>
        <level uniqueName="[Range].[City].[City]" sourceCaption="City" count="5">
          <ranges>
            <range startItem="0">
              <i n="[Range].[City].&amp;[California]" c="California"/>
              <i n="[Range].[City].&amp;[Florida]" c="Florida"/>
              <i n="[Range].[City].&amp;[New York]" c="New York"/>
              <i n="[Range].[City].&amp;[Texas]" c="Texas"/>
              <i n="[Range].[City].&amp;" c="(blank)" nd="1"/>
            </range>
          </ranges>
        </level>
      </levels>
      <selections count="1">
        <selection n="[Range].[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ntact" sourceName="[Range].[Contact]">
  <pivotTables>
    <pivotTable tabId="8" name="PivotTable4"/>
  </pivotTables>
  <data>
    <olap pivotCacheId="2">
      <levels count="2">
        <level uniqueName="[Range].[Contact].[(All)]" sourceCaption="(All)" count="0"/>
        <level uniqueName="[Range].[Contact].[Contact]" sourceCaption="Contact" count="27">
          <ranges>
            <range startItem="0">
              <i n="[Range].[Contact].&amp;[Alia Thornton]" c="Alia Thornton"/>
              <i n="[Range].[Contact].&amp;[Arturo Moore]" c="Arturo Moore"/>
              <i n="[Range].[Contact].&amp;[Bill Smith]" c="Bill Smith"/>
              <i n="[Range].[Contact].&amp;[Brendan Wallace]" c="Brendan Wallace"/>
              <i n="[Range].[Contact].&amp;[Bruce Rich]" c="Bruce Rich"/>
              <i n="[Range].[Contact].&amp;[Bruno Cordova]" c="Bruno Cordova"/>
              <i n="[Range].[Contact].&amp;[Bryce Carpenter]" c="Bryce Carpenter"/>
              <i n="[Range].[Contact].&amp;[Conor Wise]" c="Conor Wise"/>
              <i n="[Range].[Contact].&amp;[David Rasmussen]" c="David Rasmussen"/>
              <i n="[Range].[Contact].&amp;[Denzel Flores]" c="Denzel Flores"/>
              <i n="[Range].[Contact].&amp;[Franklin Wrigt]" c="Franklin Wrigt"/>
              <i n="[Range].[Contact].&amp;[Harley Fritz]" c="Harley Fritz"/>
              <i n="[Range].[Contact].&amp;[Harry Lee]" c="Harry Lee"/>
              <i n="[Range].[Contact].&amp;[Ivan Hiney]" c="Ivan Hiney"/>
              <i n="[Range].[Contact].&amp;[Jaidyn Andersen]" c="Jaidyn Andersen"/>
              <i n="[Range].[Contact].&amp;[Jaylynn Napp]" c="Jaylynn Napp"/>
              <i n="[Range].[Contact].&amp;[Jonha Ma]" c="Jonha Ma"/>
              <i n="[Range].[Contact].&amp;[Jordan Boone]" c="Jordan Boone"/>
              <i n="[Range].[Contact].&amp;[Jose Roach]" c="Jose Roach"/>
              <i n="[Range].[Contact].&amp;[Josh Johnson]" c="Josh Johnson"/>
              <i n="[Range].[Contact].&amp;[Ken Singh]" c="Ken Singh"/>
              <i n="[Range].[Contact].&amp;[Kylee Townsend]" c="Kylee Townsend"/>
              <i n="[Range].[Contact].&amp;[Mark Walm]" c="Mark Walm"/>
              <i n="[Range].[Contact].&amp;[Mik Naam]" c="Mik Naam"/>
              <i n="[Range].[Contact].&amp;[Nora Rollins]" c="Nora Rollins"/>
              <i n="[Range].[Contact].&amp;[Steven Michael]" c="Steven Michael"/>
              <i n="[Range].[Contact].&amp;" c="(blank)" nd="1"/>
            </range>
          </ranges>
        </level>
      </levels>
      <selections count="1">
        <selection n="[Range].[Conta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lient" sourceName="[Range].[Client]">
  <pivotTables>
    <pivotTable tabId="8" name="PivotTable4"/>
  </pivotTables>
  <data>
    <olap pivotCacheId="2">
      <levels count="2">
        <level uniqueName="[Range].[Client].[(All)]" sourceCaption="(All)" count="0"/>
        <level uniqueName="[Range].[Client].[Client]" sourceCaption="Client" count="27">
          <ranges>
            <range startItem="0">
              <i n="[Range].[Client].&amp;[Amazon.Com, Inc. (Xnas:Amzn)]" c="Amazon.Com, Inc. (Xnas:Amzn)"/>
              <i n="[Range].[Client].&amp;[At&amp;T Inc. (Xnys:T)]" c="At&amp;T Inc. (Xnys:T)"/>
              <i n="[Range].[Client].&amp;[Bank Of America Corporation (Xnys:Bac)]" c="Bank Of America Corporation (Xnys:Bac)"/>
              <i n="[Range].[Client].&amp;[Chevron Corporation (Xnys:Cvx)]" c="Chevron Corporation (Xnys:Cvx)"/>
              <i n="[Range].[Client].&amp;[Cisco Systems, Inc. (Xnas:Csco)]" c="Cisco Systems, Inc. (Xnas:Csco)"/>
              <i n="[Range].[Client].&amp;[Citigroup Inc. (Xnys:C)]" c="Citigroup Inc. (Xnys:C)"/>
              <i n="[Range].[Client].&amp;[Comcast Corporation (Xnas:Cmcsa)]" c="Comcast Corporation (Xnas:Cmcsa)"/>
              <i n="[Range].[Client].&amp;[Costco Wholesale Corporation (Xnas:Cost)]" c="Costco Wholesale Corporation (Xnas:Cost)"/>
              <i n="[Range].[Client].&amp;[Dell Technologies Inc. (Xnys:Dell)]" c="Dell Technologies Inc. (Xnys:Dell)"/>
              <i n="[Range].[Client].&amp;[Fedex Corporation (Xnys:Fdx)]" c="Fedex Corporation (Xnys:Fdx)"/>
              <i n="[Range].[Client].&amp;[General Electric Company (Xnys:Ge)]" c="General Electric Company (Xnys:Ge)"/>
              <i n="[Range].[Client].&amp;[General Motors Company (Xnys:Gm)]" c="General Motors Company (Xnys:Gm)"/>
              <i n="[Range].[Client].&amp;[Intel Corporation (Xnas:Intc)]" c="Intel Corporation (Xnas:Intc)"/>
              <i n="[Range].[Client].&amp;[Johnson &amp; Johnson (Xnys:Jnj)]" c="Johnson &amp; Johnson (Xnys:Jnj)"/>
              <i n="[Range].[Client].&amp;[Jpmorgan Chase &amp; Co. (Xnys:Jpm)]" c="Jpmorgan Chase &amp; Co. (Xnys:Jpm)"/>
              <i n="[Range].[Client].&amp;[Lockheed Martin Corporation (Xnys:Lmt)]" c="Lockheed Martin Corporation (Xnys:Lmt)"/>
              <i n="[Range].[Client].&amp;[Mcdonald'S Corporation (Xnys:Mcd)]" c="Mcdonald'S Corporation (Xnys:Mcd)"/>
              <i n="[Range].[Client].&amp;[Microsoft Corporation (Xnas:Msft)]" c="Microsoft Corporation (Xnas:Msft)"/>
              <i n="[Range].[Client].&amp;[Morgan Stanley (Xnys:Ms)]" c="Morgan Stanley (Xnys:Ms)"/>
              <i n="[Range].[Client].&amp;[Netflix, Inc. (Xnas:Nflx)]" c="Netflix, Inc. (Xnas:Nflx)"/>
              <i n="[Range].[Client].&amp;[Target Corporation (Xnys:Tgt)]" c="Target Corporation (Xnys:Tgt)"/>
              <i n="[Range].[Client].&amp;[Tesla, Inc. (Xnas:Tsla)]" c="Tesla, Inc. (Xnas:Tsla)"/>
              <i n="[Range].[Client].&amp;[The Goldman Sachs Group, Inc. (Xnys:Gs)]" c="The Goldman Sachs Group, Inc. (Xnys:Gs)"/>
              <i n="[Range].[Client].&amp;[The Home Depot, Inc. (Xnys:Hd)]" c="The Home Depot, Inc. (Xnys:Hd)"/>
              <i n="[Range].[Client].&amp;[Verizon Communications Inc. (Xnys:Vz)]" c="Verizon Communications Inc. (Xnys:Vz)"/>
              <i n="[Range].[Client].&amp;[Walmart Inc. (Xnys:Wmt)]" c="Walmart Inc. (Xnys:Wmt)"/>
              <i n="[Range].[Client].&amp;" c="(blank)" nd="1"/>
            </range>
          </ranges>
        </level>
      </levels>
      <selections count="1">
        <selection n="[Range].[Cli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1" cache="Slicer_City" caption="City" level="1" style="SlicerStyleOther2" rowHeight="241300"/>
  <slicer name="Contact 1" cache="Slicer_Contact" caption="Contact" startItem="17" level="1" style="SlicerStyleOther2" rowHeight="241300"/>
  <slicer name="Client 1" cache="Slicer_Client" caption="Client" level="1"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Date" sourceName="[Range].[Date]">
  <pivotTables>
    <pivotTable tabId="8" name="PivotTable4"/>
  </pivotTables>
  <state minimalRefreshVersion="6" lastRefreshVersion="6" pivotCacheId="1" filterType="dateBetween">
    <selection startDate="2023-02-01T00:00:00" endDate="2023-06-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2" cache="Timeline_Date" caption="Date" level="2" selectionLevel="2" scrollPosition="2023-01-28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topLeftCell="B1" zoomScaleNormal="100" workbookViewId="0">
      <selection activeCell="B27" sqref="B27"/>
    </sheetView>
  </sheetViews>
  <sheetFormatPr defaultRowHeight="14.25" x14ac:dyDescent="0.45"/>
  <cols>
    <col min="1" max="1" width="9.53125" bestFit="1" customWidth="1"/>
    <col min="2" max="2" width="32.3984375" customWidth="1"/>
    <col min="3" max="4" width="21.53125" customWidth="1"/>
    <col min="5" max="5" width="16" customWidth="1"/>
    <col min="6" max="6" width="14.3984375" customWidth="1"/>
    <col min="7" max="7" width="14.46484375" customWidth="1"/>
    <col min="8" max="9" width="9.1328125" bestFit="1" customWidth="1"/>
    <col min="10" max="10" width="15.06640625" customWidth="1"/>
  </cols>
  <sheetData>
    <row r="1" spans="1:7" x14ac:dyDescent="0.45">
      <c r="A1" t="s">
        <v>0</v>
      </c>
      <c r="B1" t="s">
        <v>1</v>
      </c>
      <c r="C1" t="s">
        <v>2</v>
      </c>
      <c r="D1" t="s">
        <v>3</v>
      </c>
      <c r="E1" t="s">
        <v>23</v>
      </c>
      <c r="F1" t="s">
        <v>4</v>
      </c>
      <c r="G1" t="s">
        <v>5</v>
      </c>
    </row>
    <row r="2" spans="1:7" x14ac:dyDescent="0.45">
      <c r="A2" s="1">
        <v>45076</v>
      </c>
      <c r="B2" s="1" t="s">
        <v>27</v>
      </c>
      <c r="C2" s="1" t="s">
        <v>53</v>
      </c>
      <c r="D2" t="s">
        <v>17</v>
      </c>
      <c r="E2" t="s">
        <v>25</v>
      </c>
      <c r="F2" s="2">
        <v>4500</v>
      </c>
      <c r="G2" s="2">
        <v>598</v>
      </c>
    </row>
    <row r="3" spans="1:7" x14ac:dyDescent="0.45">
      <c r="A3" s="1">
        <v>45076</v>
      </c>
      <c r="B3" s="1" t="s">
        <v>28</v>
      </c>
      <c r="C3" s="1" t="s">
        <v>54</v>
      </c>
      <c r="D3" t="s">
        <v>24</v>
      </c>
      <c r="E3" t="s">
        <v>19</v>
      </c>
      <c r="F3" s="2">
        <v>3800</v>
      </c>
      <c r="G3" s="2">
        <v>1045</v>
      </c>
    </row>
    <row r="4" spans="1:7" x14ac:dyDescent="0.45">
      <c r="A4" s="1">
        <v>45076</v>
      </c>
      <c r="B4" s="1" t="s">
        <v>29</v>
      </c>
      <c r="C4" s="1" t="s">
        <v>6</v>
      </c>
      <c r="D4" t="s">
        <v>24</v>
      </c>
      <c r="E4" t="s">
        <v>19</v>
      </c>
      <c r="F4" s="2">
        <v>3713</v>
      </c>
      <c r="G4" s="2">
        <v>1009</v>
      </c>
    </row>
    <row r="5" spans="1:7" x14ac:dyDescent="0.45">
      <c r="A5" s="1">
        <v>45076</v>
      </c>
      <c r="B5" s="1" t="s">
        <v>30</v>
      </c>
      <c r="C5" s="1" t="s">
        <v>7</v>
      </c>
      <c r="D5" t="s">
        <v>18</v>
      </c>
      <c r="E5" t="s">
        <v>26</v>
      </c>
      <c r="F5" s="2">
        <v>5000</v>
      </c>
      <c r="G5" s="2">
        <v>684</v>
      </c>
    </row>
    <row r="6" spans="1:7" x14ac:dyDescent="0.45">
      <c r="A6" s="1">
        <v>45077</v>
      </c>
      <c r="B6" s="1" t="s">
        <v>31</v>
      </c>
      <c r="C6" s="1" t="s">
        <v>55</v>
      </c>
      <c r="D6" t="s">
        <v>17</v>
      </c>
      <c r="E6" t="s">
        <v>25</v>
      </c>
      <c r="F6" s="2">
        <v>6100</v>
      </c>
      <c r="G6" s="2">
        <v>544</v>
      </c>
    </row>
    <row r="7" spans="1:7" x14ac:dyDescent="0.45">
      <c r="A7" s="1">
        <v>45077</v>
      </c>
      <c r="B7" s="1" t="s">
        <v>32</v>
      </c>
      <c r="C7" s="1" t="s">
        <v>56</v>
      </c>
      <c r="D7" t="s">
        <v>17</v>
      </c>
      <c r="E7" t="s">
        <v>25</v>
      </c>
      <c r="F7" s="2">
        <v>4625</v>
      </c>
      <c r="G7" s="2">
        <v>670</v>
      </c>
    </row>
    <row r="8" spans="1:7" x14ac:dyDescent="0.45">
      <c r="A8" s="1">
        <v>45077</v>
      </c>
      <c r="B8" s="1" t="s">
        <v>33</v>
      </c>
      <c r="C8" s="1" t="s">
        <v>8</v>
      </c>
      <c r="D8" t="s">
        <v>17</v>
      </c>
      <c r="E8" t="s">
        <v>25</v>
      </c>
      <c r="F8" s="2">
        <v>3800</v>
      </c>
      <c r="G8" s="2">
        <v>2045</v>
      </c>
    </row>
    <row r="9" spans="1:7" x14ac:dyDescent="0.45">
      <c r="A9" s="1">
        <v>45077</v>
      </c>
      <c r="B9" s="1" t="s">
        <v>34</v>
      </c>
      <c r="C9" s="1" t="s">
        <v>9</v>
      </c>
      <c r="D9" t="s">
        <v>17</v>
      </c>
      <c r="E9" t="s">
        <v>25</v>
      </c>
      <c r="F9" s="2">
        <v>3600</v>
      </c>
      <c r="G9" s="2">
        <v>1564</v>
      </c>
    </row>
    <row r="10" spans="1:7" x14ac:dyDescent="0.45">
      <c r="A10" s="1">
        <v>45077</v>
      </c>
      <c r="B10" s="1" t="s">
        <v>35</v>
      </c>
      <c r="C10" s="1" t="s">
        <v>10</v>
      </c>
      <c r="D10" t="s">
        <v>17</v>
      </c>
      <c r="E10" t="s">
        <v>25</v>
      </c>
      <c r="F10" s="2">
        <v>5100</v>
      </c>
      <c r="G10" s="2">
        <v>1220</v>
      </c>
    </row>
    <row r="11" spans="1:7" x14ac:dyDescent="0.45">
      <c r="A11" s="1">
        <v>45077</v>
      </c>
      <c r="B11" s="1" t="s">
        <v>36</v>
      </c>
      <c r="C11" s="1" t="s">
        <v>57</v>
      </c>
      <c r="D11" t="s">
        <v>17</v>
      </c>
      <c r="E11" t="s">
        <v>25</v>
      </c>
      <c r="F11" s="2">
        <v>4750</v>
      </c>
      <c r="G11" s="2">
        <v>1435</v>
      </c>
    </row>
    <row r="12" spans="1:7" x14ac:dyDescent="0.45">
      <c r="A12" s="1">
        <v>45077</v>
      </c>
      <c r="B12" s="1" t="s">
        <v>37</v>
      </c>
      <c r="C12" s="1" t="s">
        <v>11</v>
      </c>
      <c r="D12" t="s">
        <v>18</v>
      </c>
      <c r="E12" t="s">
        <v>26</v>
      </c>
      <c r="F12" s="2">
        <v>6000</v>
      </c>
      <c r="G12" s="2">
        <v>998</v>
      </c>
    </row>
    <row r="13" spans="1:7" x14ac:dyDescent="0.45">
      <c r="A13" s="1">
        <v>45077</v>
      </c>
      <c r="B13" s="1" t="s">
        <v>38</v>
      </c>
      <c r="C13" s="1" t="s">
        <v>58</v>
      </c>
      <c r="D13" t="s">
        <v>22</v>
      </c>
      <c r="E13" t="s">
        <v>21</v>
      </c>
      <c r="F13" s="2">
        <v>4500</v>
      </c>
      <c r="G13" s="2">
        <v>780</v>
      </c>
    </row>
    <row r="14" spans="1:7" x14ac:dyDescent="0.45">
      <c r="A14" s="1">
        <v>45078</v>
      </c>
      <c r="B14" s="1" t="s">
        <v>39</v>
      </c>
      <c r="C14" s="1" t="s">
        <v>59</v>
      </c>
      <c r="D14" t="s">
        <v>22</v>
      </c>
      <c r="E14" t="s">
        <v>21</v>
      </c>
      <c r="F14" s="2">
        <v>3713</v>
      </c>
      <c r="G14" s="2">
        <v>1222</v>
      </c>
    </row>
    <row r="15" spans="1:7" x14ac:dyDescent="0.45">
      <c r="A15" s="1">
        <v>45078</v>
      </c>
      <c r="B15" s="1" t="s">
        <v>40</v>
      </c>
      <c r="C15" s="1" t="s">
        <v>60</v>
      </c>
      <c r="D15" t="s">
        <v>22</v>
      </c>
      <c r="E15" t="s">
        <v>21</v>
      </c>
      <c r="F15" s="2">
        <v>4950</v>
      </c>
      <c r="G15" s="2">
        <v>1065</v>
      </c>
    </row>
    <row r="16" spans="1:7" x14ac:dyDescent="0.45">
      <c r="A16" s="1">
        <v>45078</v>
      </c>
      <c r="B16" s="1" t="s">
        <v>41</v>
      </c>
      <c r="C16" s="1" t="s">
        <v>12</v>
      </c>
      <c r="D16" t="s">
        <v>18</v>
      </c>
      <c r="E16" t="s">
        <v>26</v>
      </c>
      <c r="F16" s="2">
        <v>4750</v>
      </c>
      <c r="G16" s="2">
        <v>810</v>
      </c>
    </row>
    <row r="17" spans="1:7" x14ac:dyDescent="0.45">
      <c r="A17" s="1">
        <v>45078</v>
      </c>
      <c r="B17" s="1" t="s">
        <v>42</v>
      </c>
      <c r="C17" s="1" t="s">
        <v>13</v>
      </c>
      <c r="D17" t="s">
        <v>18</v>
      </c>
      <c r="E17" t="s">
        <v>26</v>
      </c>
      <c r="F17" s="2">
        <v>7320</v>
      </c>
      <c r="G17" s="2">
        <v>933</v>
      </c>
    </row>
    <row r="18" spans="1:7" x14ac:dyDescent="0.45">
      <c r="A18" s="1">
        <v>45078</v>
      </c>
      <c r="B18" s="1" t="s">
        <v>43</v>
      </c>
      <c r="C18" s="1" t="s">
        <v>61</v>
      </c>
      <c r="D18" t="s">
        <v>22</v>
      </c>
      <c r="E18" t="s">
        <v>21</v>
      </c>
      <c r="F18" s="2">
        <v>5088</v>
      </c>
      <c r="G18" s="2">
        <v>655</v>
      </c>
    </row>
    <row r="19" spans="1:7" x14ac:dyDescent="0.45">
      <c r="A19" s="1">
        <v>45078</v>
      </c>
      <c r="B19" s="1" t="s">
        <v>44</v>
      </c>
      <c r="C19" s="1" t="s">
        <v>62</v>
      </c>
      <c r="D19" t="s">
        <v>22</v>
      </c>
      <c r="E19" t="s">
        <v>21</v>
      </c>
      <c r="F19" s="2">
        <v>4500</v>
      </c>
      <c r="G19" s="2">
        <v>722</v>
      </c>
    </row>
    <row r="20" spans="1:7" x14ac:dyDescent="0.45">
      <c r="A20" s="1">
        <v>45078</v>
      </c>
      <c r="B20" s="1" t="s">
        <v>45</v>
      </c>
      <c r="C20" s="1" t="s">
        <v>63</v>
      </c>
      <c r="D20" t="s">
        <v>22</v>
      </c>
      <c r="E20" t="s">
        <v>21</v>
      </c>
      <c r="F20" s="2">
        <v>4250</v>
      </c>
      <c r="G20" s="2">
        <v>901</v>
      </c>
    </row>
    <row r="21" spans="1:7" x14ac:dyDescent="0.45">
      <c r="A21" s="1">
        <v>45079</v>
      </c>
      <c r="B21" s="1" t="s">
        <v>46</v>
      </c>
      <c r="C21" s="1" t="s">
        <v>14</v>
      </c>
      <c r="D21" t="s">
        <v>22</v>
      </c>
      <c r="E21" t="s">
        <v>21</v>
      </c>
      <c r="F21" s="2">
        <v>5250</v>
      </c>
      <c r="G21" s="2">
        <v>1349</v>
      </c>
    </row>
    <row r="22" spans="1:7" x14ac:dyDescent="0.45">
      <c r="A22" s="1">
        <v>45079</v>
      </c>
      <c r="B22" s="1" t="s">
        <v>47</v>
      </c>
      <c r="C22" s="1" t="s">
        <v>15</v>
      </c>
      <c r="D22" t="s">
        <v>24</v>
      </c>
      <c r="E22" t="s">
        <v>19</v>
      </c>
      <c r="F22" s="2">
        <v>6500</v>
      </c>
      <c r="G22" s="2">
        <v>1288</v>
      </c>
    </row>
    <row r="23" spans="1:7" x14ac:dyDescent="0.45">
      <c r="A23" s="1">
        <v>45079</v>
      </c>
      <c r="B23" s="1" t="s">
        <v>48</v>
      </c>
      <c r="C23" s="1" t="s">
        <v>64</v>
      </c>
      <c r="D23" t="s">
        <v>24</v>
      </c>
      <c r="E23" t="s">
        <v>19</v>
      </c>
      <c r="F23" s="2">
        <v>7500</v>
      </c>
      <c r="G23" s="2">
        <v>1664</v>
      </c>
    </row>
    <row r="24" spans="1:7" x14ac:dyDescent="0.45">
      <c r="A24" s="1">
        <v>45079</v>
      </c>
      <c r="B24" s="1" t="s">
        <v>49</v>
      </c>
      <c r="C24" s="1" t="s">
        <v>65</v>
      </c>
      <c r="D24" t="s">
        <v>24</v>
      </c>
      <c r="E24" t="s">
        <v>19</v>
      </c>
      <c r="F24" s="2">
        <v>5500</v>
      </c>
      <c r="G24" s="2">
        <v>1320</v>
      </c>
    </row>
    <row r="25" spans="1:7" x14ac:dyDescent="0.45">
      <c r="A25" s="1">
        <v>45079</v>
      </c>
      <c r="B25" s="1" t="s">
        <v>50</v>
      </c>
      <c r="C25" s="1" t="s">
        <v>66</v>
      </c>
      <c r="D25" t="s">
        <v>24</v>
      </c>
      <c r="E25" t="s">
        <v>19</v>
      </c>
      <c r="F25" s="2">
        <v>4625</v>
      </c>
      <c r="G25" s="2">
        <v>1001</v>
      </c>
    </row>
    <row r="26" spans="1:7" x14ac:dyDescent="0.45">
      <c r="A26" s="1">
        <v>45079</v>
      </c>
      <c r="B26" s="1" t="s">
        <v>51</v>
      </c>
      <c r="C26" s="1" t="s">
        <v>67</v>
      </c>
      <c r="D26" t="s">
        <v>24</v>
      </c>
      <c r="E26" t="s">
        <v>19</v>
      </c>
      <c r="F26" s="2">
        <v>4500</v>
      </c>
      <c r="G26" s="2">
        <v>960</v>
      </c>
    </row>
    <row r="27" spans="1:7" x14ac:dyDescent="0.45">
      <c r="A27" s="1">
        <v>45079</v>
      </c>
      <c r="B27" s="1" t="s">
        <v>52</v>
      </c>
      <c r="C27" s="1" t="s">
        <v>16</v>
      </c>
      <c r="D27" t="s">
        <v>24</v>
      </c>
      <c r="E27" t="s">
        <v>19</v>
      </c>
      <c r="F27" s="2">
        <v>5400</v>
      </c>
      <c r="G27" s="2">
        <v>540</v>
      </c>
    </row>
    <row r="28" spans="1:7" x14ac:dyDescent="0.45">
      <c r="A28" s="1">
        <v>45076</v>
      </c>
      <c r="B28" s="1" t="s">
        <v>30</v>
      </c>
      <c r="C28" s="1" t="s">
        <v>7</v>
      </c>
      <c r="D28" t="s">
        <v>20</v>
      </c>
      <c r="E28" t="s">
        <v>26</v>
      </c>
      <c r="F28" s="2">
        <v>5000</v>
      </c>
      <c r="G28" s="2">
        <v>684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selection activeCell="J2" sqref="J2"/>
    </sheetView>
  </sheetViews>
  <sheetFormatPr defaultRowHeight="14.25" x14ac:dyDescent="0.45"/>
  <cols>
    <col min="1" max="1" width="9.53125" bestFit="1" customWidth="1"/>
    <col min="2" max="2" width="27.6640625" customWidth="1"/>
    <col min="3" max="4" width="21.53125" customWidth="1"/>
    <col min="5" max="5" width="16" customWidth="1"/>
    <col min="6" max="6" width="14.3984375" customWidth="1"/>
    <col min="7" max="7" width="14.46484375" customWidth="1"/>
    <col min="8" max="8" width="9.1328125" bestFit="1" customWidth="1"/>
    <col min="9" max="9" width="13.53125" customWidth="1"/>
  </cols>
  <sheetData>
    <row r="1" spans="1:10" x14ac:dyDescent="0.45">
      <c r="A1" t="s">
        <v>0</v>
      </c>
      <c r="B1" t="s">
        <v>108</v>
      </c>
      <c r="C1" t="s">
        <v>2</v>
      </c>
      <c r="D1" t="s">
        <v>3</v>
      </c>
      <c r="E1" t="s">
        <v>23</v>
      </c>
      <c r="F1" t="s">
        <v>4</v>
      </c>
      <c r="G1" t="s">
        <v>5</v>
      </c>
    </row>
    <row r="2" spans="1:10" x14ac:dyDescent="0.45">
      <c r="A2" s="1">
        <v>45076</v>
      </c>
      <c r="B2" s="1" t="s">
        <v>80</v>
      </c>
      <c r="C2" s="1" t="s">
        <v>68</v>
      </c>
      <c r="D2" t="s">
        <v>17</v>
      </c>
      <c r="E2" t="s">
        <v>25</v>
      </c>
      <c r="F2" s="2">
        <v>4500</v>
      </c>
      <c r="G2" s="2">
        <v>598</v>
      </c>
      <c r="I2" t="s">
        <v>111</v>
      </c>
      <c r="J2" s="2">
        <f>F2:F27</f>
        <v>4500</v>
      </c>
    </row>
    <row r="3" spans="1:10" x14ac:dyDescent="0.45">
      <c r="A3" s="1">
        <v>45076</v>
      </c>
      <c r="B3" s="1" t="s">
        <v>81</v>
      </c>
      <c r="C3" s="1" t="s">
        <v>54</v>
      </c>
      <c r="D3" t="s">
        <v>24</v>
      </c>
      <c r="E3" t="s">
        <v>19</v>
      </c>
      <c r="F3" s="2">
        <v>3800</v>
      </c>
      <c r="G3" s="2">
        <v>1045</v>
      </c>
      <c r="I3" t="s">
        <v>112</v>
      </c>
      <c r="J3" s="2">
        <f>SUM(G2:G27)</f>
        <v>27022</v>
      </c>
    </row>
    <row r="4" spans="1:10" x14ac:dyDescent="0.45">
      <c r="A4" s="1">
        <v>45076</v>
      </c>
      <c r="B4" s="1" t="s">
        <v>82</v>
      </c>
      <c r="C4" s="1" t="s">
        <v>69</v>
      </c>
      <c r="D4" t="s">
        <v>24</v>
      </c>
      <c r="E4" t="s">
        <v>19</v>
      </c>
      <c r="F4" s="2">
        <v>3713</v>
      </c>
      <c r="G4" s="2">
        <v>1009</v>
      </c>
      <c r="I4" t="s">
        <v>113</v>
      </c>
      <c r="J4" s="2">
        <f>MAX(F2:F27)</f>
        <v>7500</v>
      </c>
    </row>
    <row r="5" spans="1:10" x14ac:dyDescent="0.45">
      <c r="A5" s="1">
        <v>45076</v>
      </c>
      <c r="B5" s="1" t="s">
        <v>83</v>
      </c>
      <c r="C5" s="1" t="s">
        <v>70</v>
      </c>
      <c r="D5" t="s">
        <v>18</v>
      </c>
      <c r="E5" t="s">
        <v>26</v>
      </c>
      <c r="F5" s="2">
        <v>5000</v>
      </c>
      <c r="G5" s="2">
        <v>684</v>
      </c>
      <c r="J5" s="1"/>
    </row>
    <row r="6" spans="1:10" x14ac:dyDescent="0.45">
      <c r="A6" s="1">
        <v>45077</v>
      </c>
      <c r="B6" s="1" t="s">
        <v>84</v>
      </c>
      <c r="C6" s="1" t="s">
        <v>55</v>
      </c>
      <c r="D6" t="s">
        <v>17</v>
      </c>
      <c r="E6" t="s">
        <v>25</v>
      </c>
      <c r="F6" s="2">
        <v>6100</v>
      </c>
      <c r="G6" s="2">
        <v>544</v>
      </c>
    </row>
    <row r="7" spans="1:10" x14ac:dyDescent="0.45">
      <c r="A7" s="1">
        <v>45077</v>
      </c>
      <c r="B7" s="1" t="s">
        <v>85</v>
      </c>
      <c r="C7" s="1" t="s">
        <v>56</v>
      </c>
      <c r="D7" t="s">
        <v>17</v>
      </c>
      <c r="E7" t="s">
        <v>25</v>
      </c>
      <c r="F7" s="2">
        <v>4625</v>
      </c>
      <c r="G7" s="2">
        <v>670</v>
      </c>
    </row>
    <row r="8" spans="1:10" x14ac:dyDescent="0.45">
      <c r="A8" s="1">
        <v>45077</v>
      </c>
      <c r="B8" s="1" t="s">
        <v>86</v>
      </c>
      <c r="C8" s="1" t="s">
        <v>71</v>
      </c>
      <c r="D8" t="s">
        <v>17</v>
      </c>
      <c r="E8" t="s">
        <v>25</v>
      </c>
      <c r="F8" s="2">
        <v>3800</v>
      </c>
      <c r="G8" s="2">
        <v>2045</v>
      </c>
    </row>
    <row r="9" spans="1:10" x14ac:dyDescent="0.45">
      <c r="A9" s="1">
        <v>45077</v>
      </c>
      <c r="B9" s="1" t="s">
        <v>87</v>
      </c>
      <c r="C9" s="1" t="s">
        <v>9</v>
      </c>
      <c r="D9" t="s">
        <v>17</v>
      </c>
      <c r="E9" t="s">
        <v>25</v>
      </c>
      <c r="F9" s="2">
        <v>3600</v>
      </c>
      <c r="G9" s="2">
        <v>1564</v>
      </c>
    </row>
    <row r="10" spans="1:10" x14ac:dyDescent="0.45">
      <c r="A10" s="1">
        <v>45077</v>
      </c>
      <c r="B10" s="1" t="s">
        <v>88</v>
      </c>
      <c r="C10" s="1" t="s">
        <v>10</v>
      </c>
      <c r="D10" t="s">
        <v>17</v>
      </c>
      <c r="E10" t="s">
        <v>25</v>
      </c>
      <c r="F10" s="2">
        <v>5100</v>
      </c>
      <c r="G10" s="2">
        <v>1220</v>
      </c>
    </row>
    <row r="11" spans="1:10" x14ac:dyDescent="0.45">
      <c r="A11" s="1">
        <v>45077</v>
      </c>
      <c r="B11" s="1" t="s">
        <v>89</v>
      </c>
      <c r="C11" s="1" t="s">
        <v>57</v>
      </c>
      <c r="D11" t="s">
        <v>17</v>
      </c>
      <c r="E11" t="s">
        <v>25</v>
      </c>
      <c r="F11" s="2">
        <v>4750</v>
      </c>
      <c r="G11" s="2">
        <v>1435</v>
      </c>
    </row>
    <row r="12" spans="1:10" x14ac:dyDescent="0.45">
      <c r="A12" s="1">
        <v>45077</v>
      </c>
      <c r="B12" s="1" t="s">
        <v>90</v>
      </c>
      <c r="C12" s="1" t="s">
        <v>72</v>
      </c>
      <c r="D12" t="s">
        <v>18</v>
      </c>
      <c r="E12" t="s">
        <v>26</v>
      </c>
      <c r="F12" s="2">
        <v>6000</v>
      </c>
      <c r="G12" s="2">
        <v>998</v>
      </c>
    </row>
    <row r="13" spans="1:10" x14ac:dyDescent="0.45">
      <c r="A13" s="1">
        <v>45077</v>
      </c>
      <c r="B13" s="1" t="s">
        <v>91</v>
      </c>
      <c r="C13" s="1" t="s">
        <v>73</v>
      </c>
      <c r="D13" t="s">
        <v>22</v>
      </c>
      <c r="E13" t="s">
        <v>21</v>
      </c>
      <c r="F13" s="2">
        <v>4500</v>
      </c>
      <c r="G13" s="2">
        <v>780</v>
      </c>
    </row>
    <row r="14" spans="1:10" x14ac:dyDescent="0.45">
      <c r="A14" s="1">
        <v>45078</v>
      </c>
      <c r="B14" s="1" t="s">
        <v>92</v>
      </c>
      <c r="C14" s="1" t="s">
        <v>74</v>
      </c>
      <c r="D14" t="s">
        <v>22</v>
      </c>
      <c r="E14" t="s">
        <v>21</v>
      </c>
      <c r="F14" s="2">
        <v>3713</v>
      </c>
      <c r="G14" s="2">
        <v>1222</v>
      </c>
    </row>
    <row r="15" spans="1:10" x14ac:dyDescent="0.45">
      <c r="A15" s="1">
        <v>45078</v>
      </c>
      <c r="B15" s="1" t="s">
        <v>93</v>
      </c>
      <c r="C15" s="1" t="s">
        <v>60</v>
      </c>
      <c r="D15" t="s">
        <v>22</v>
      </c>
      <c r="E15" t="s">
        <v>21</v>
      </c>
      <c r="F15" s="2">
        <v>4950</v>
      </c>
      <c r="G15" s="2">
        <v>1065</v>
      </c>
    </row>
    <row r="16" spans="1:10" x14ac:dyDescent="0.45">
      <c r="A16" s="1">
        <v>45078</v>
      </c>
      <c r="B16" s="1" t="s">
        <v>94</v>
      </c>
      <c r="C16" s="1" t="s">
        <v>75</v>
      </c>
      <c r="D16" t="s">
        <v>18</v>
      </c>
      <c r="E16" t="s">
        <v>26</v>
      </c>
      <c r="F16" s="2">
        <v>4750</v>
      </c>
      <c r="G16" s="2">
        <v>810</v>
      </c>
    </row>
    <row r="17" spans="1:7" x14ac:dyDescent="0.45">
      <c r="A17" s="1">
        <v>45078</v>
      </c>
      <c r="B17" s="1" t="s">
        <v>95</v>
      </c>
      <c r="C17" s="1" t="s">
        <v>76</v>
      </c>
      <c r="D17" t="s">
        <v>18</v>
      </c>
      <c r="E17" t="s">
        <v>26</v>
      </c>
      <c r="F17" s="2">
        <v>7320</v>
      </c>
      <c r="G17" s="2">
        <v>933</v>
      </c>
    </row>
    <row r="18" spans="1:7" x14ac:dyDescent="0.45">
      <c r="A18" s="1">
        <v>45078</v>
      </c>
      <c r="B18" s="1" t="s">
        <v>96</v>
      </c>
      <c r="C18" s="1" t="s">
        <v>61</v>
      </c>
      <c r="D18" t="s">
        <v>22</v>
      </c>
      <c r="E18" t="s">
        <v>21</v>
      </c>
      <c r="F18" s="2">
        <v>5088</v>
      </c>
      <c r="G18" s="2">
        <v>655</v>
      </c>
    </row>
    <row r="19" spans="1:7" x14ac:dyDescent="0.45">
      <c r="A19" s="1">
        <v>45078</v>
      </c>
      <c r="B19" s="1" t="s">
        <v>97</v>
      </c>
      <c r="C19" s="1" t="s">
        <v>77</v>
      </c>
      <c r="D19" t="s">
        <v>22</v>
      </c>
      <c r="E19" t="s">
        <v>21</v>
      </c>
      <c r="F19" s="2">
        <v>4500</v>
      </c>
      <c r="G19" s="2">
        <v>722</v>
      </c>
    </row>
    <row r="20" spans="1:7" x14ac:dyDescent="0.45">
      <c r="A20" s="1">
        <v>45078</v>
      </c>
      <c r="B20" s="1" t="s">
        <v>98</v>
      </c>
      <c r="C20" s="1" t="s">
        <v>63</v>
      </c>
      <c r="D20" t="s">
        <v>22</v>
      </c>
      <c r="E20" t="s">
        <v>21</v>
      </c>
      <c r="F20" s="2">
        <v>4250</v>
      </c>
      <c r="G20" s="2">
        <v>901</v>
      </c>
    </row>
    <row r="21" spans="1:7" x14ac:dyDescent="0.45">
      <c r="A21" s="1">
        <v>45079</v>
      </c>
      <c r="B21" s="1" t="s">
        <v>99</v>
      </c>
      <c r="C21" s="1" t="s">
        <v>78</v>
      </c>
      <c r="D21" t="s">
        <v>22</v>
      </c>
      <c r="E21" t="s">
        <v>21</v>
      </c>
      <c r="F21" s="2">
        <v>5250</v>
      </c>
      <c r="G21" s="2">
        <v>1349</v>
      </c>
    </row>
    <row r="22" spans="1:7" x14ac:dyDescent="0.45">
      <c r="A22" s="1">
        <v>45079</v>
      </c>
      <c r="B22" s="1" t="s">
        <v>100</v>
      </c>
      <c r="C22" s="1" t="s">
        <v>79</v>
      </c>
      <c r="D22" t="s">
        <v>24</v>
      </c>
      <c r="E22" t="s">
        <v>19</v>
      </c>
      <c r="F22" s="2">
        <v>6500</v>
      </c>
      <c r="G22" s="2">
        <v>1288</v>
      </c>
    </row>
    <row r="23" spans="1:7" x14ac:dyDescent="0.45">
      <c r="A23" s="1">
        <v>45079</v>
      </c>
      <c r="B23" s="1" t="s">
        <v>101</v>
      </c>
      <c r="C23" s="1" t="s">
        <v>64</v>
      </c>
      <c r="D23" t="s">
        <v>24</v>
      </c>
      <c r="E23" t="s">
        <v>19</v>
      </c>
      <c r="F23" s="2">
        <v>7500</v>
      </c>
      <c r="G23" s="2">
        <v>1664</v>
      </c>
    </row>
    <row r="24" spans="1:7" x14ac:dyDescent="0.45">
      <c r="A24" s="1">
        <v>45079</v>
      </c>
      <c r="B24" s="1" t="s">
        <v>102</v>
      </c>
      <c r="C24" s="1" t="s">
        <v>65</v>
      </c>
      <c r="D24" t="s">
        <v>24</v>
      </c>
      <c r="E24" t="s">
        <v>19</v>
      </c>
      <c r="F24" s="2">
        <v>5500</v>
      </c>
      <c r="G24" s="2">
        <v>1320</v>
      </c>
    </row>
    <row r="25" spans="1:7" x14ac:dyDescent="0.45">
      <c r="A25" s="1">
        <v>45079</v>
      </c>
      <c r="B25" s="1" t="s">
        <v>103</v>
      </c>
      <c r="C25" s="1" t="s">
        <v>66</v>
      </c>
      <c r="D25" t="s">
        <v>24</v>
      </c>
      <c r="E25" t="s">
        <v>19</v>
      </c>
      <c r="F25" s="2">
        <v>4625</v>
      </c>
      <c r="G25" s="2">
        <v>1001</v>
      </c>
    </row>
    <row r="26" spans="1:7" x14ac:dyDescent="0.45">
      <c r="A26" s="1">
        <v>45079</v>
      </c>
      <c r="B26" s="1" t="s">
        <v>104</v>
      </c>
      <c r="C26" s="1" t="s">
        <v>67</v>
      </c>
      <c r="D26" t="s">
        <v>24</v>
      </c>
      <c r="E26" t="s">
        <v>19</v>
      </c>
      <c r="F26" s="2">
        <v>4500</v>
      </c>
      <c r="G26" s="2">
        <v>960</v>
      </c>
    </row>
    <row r="27" spans="1:7" x14ac:dyDescent="0.45">
      <c r="A27" s="1">
        <v>45079</v>
      </c>
      <c r="B27" s="1" t="s">
        <v>105</v>
      </c>
      <c r="C27" s="1" t="s">
        <v>16</v>
      </c>
      <c r="D27" t="s">
        <v>24</v>
      </c>
      <c r="E27" t="s">
        <v>19</v>
      </c>
      <c r="F27" s="2">
        <v>5400</v>
      </c>
      <c r="G27" s="2">
        <v>540</v>
      </c>
    </row>
    <row r="28" spans="1:7" x14ac:dyDescent="0.45">
      <c r="F28" s="2">
        <f>AVERAGE(F2:F27)</f>
        <v>4974.3846153846152</v>
      </c>
      <c r="G28" s="2">
        <f>SUM(G2:G27)</f>
        <v>27022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C9" sqref="C9"/>
    </sheetView>
  </sheetViews>
  <sheetFormatPr defaultRowHeight="14.25" x14ac:dyDescent="0.45"/>
  <cols>
    <col min="1" max="1" width="12.06640625" customWidth="1"/>
    <col min="2" max="2" width="11.3984375" customWidth="1"/>
    <col min="3" max="5" width="14.1328125" customWidth="1"/>
    <col min="6" max="6" width="14.1328125" bestFit="1" customWidth="1"/>
  </cols>
  <sheetData>
    <row r="3" spans="1:5" x14ac:dyDescent="0.45">
      <c r="A3" s="5" t="s">
        <v>106</v>
      </c>
      <c r="B3" t="s">
        <v>109</v>
      </c>
      <c r="D3" s="4" t="s">
        <v>106</v>
      </c>
      <c r="E3" s="4" t="s">
        <v>110</v>
      </c>
    </row>
    <row r="4" spans="1:5" x14ac:dyDescent="0.45">
      <c r="A4" s="6" t="s">
        <v>22</v>
      </c>
      <c r="B4" s="3">
        <v>6694</v>
      </c>
      <c r="D4" s="6" t="s">
        <v>22</v>
      </c>
      <c r="E4" s="3">
        <v>32251</v>
      </c>
    </row>
    <row r="5" spans="1:5" x14ac:dyDescent="0.45">
      <c r="A5" s="6" t="s">
        <v>17</v>
      </c>
      <c r="B5" s="3">
        <v>8076</v>
      </c>
      <c r="D5" s="6" t="s">
        <v>17</v>
      </c>
      <c r="E5" s="3">
        <v>32475</v>
      </c>
    </row>
    <row r="6" spans="1:5" x14ac:dyDescent="0.45">
      <c r="A6" s="6" t="s">
        <v>18</v>
      </c>
      <c r="B6" s="3">
        <v>3425</v>
      </c>
      <c r="D6" s="6" t="s">
        <v>18</v>
      </c>
      <c r="E6" s="3">
        <v>23070</v>
      </c>
    </row>
    <row r="7" spans="1:5" x14ac:dyDescent="0.45">
      <c r="A7" s="6" t="s">
        <v>24</v>
      </c>
      <c r="B7" s="3">
        <v>8827</v>
      </c>
      <c r="D7" s="6" t="s">
        <v>24</v>
      </c>
      <c r="E7" s="3">
        <v>41538</v>
      </c>
    </row>
    <row r="8" spans="1:5" x14ac:dyDescent="0.45">
      <c r="A8" s="6" t="s">
        <v>107</v>
      </c>
      <c r="B8" s="3">
        <v>27022</v>
      </c>
      <c r="D8" s="7" t="s">
        <v>107</v>
      </c>
      <c r="E8" s="8">
        <v>129334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O5" sqref="O5"/>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0549368-A3B7-4BA8-9B7E-CA9A5628C599}">
  <ds:schemaRefs/>
</ds:datastoreItem>
</file>

<file path=customXml/itemProps2.xml><?xml version="1.0" encoding="utf-8"?>
<ds:datastoreItem xmlns:ds="http://schemas.openxmlformats.org/officeDocument/2006/customXml" ds:itemID="{D93E78E1-A7C5-481A-9E54-492F97EB3C8F}">
  <ds:schemaRefs/>
</ds:datastoreItem>
</file>

<file path=customXml/itemProps3.xml><?xml version="1.0" encoding="utf-8"?>
<ds:datastoreItem xmlns:ds="http://schemas.openxmlformats.org/officeDocument/2006/customXml" ds:itemID="{B61D8D3E-0B02-40D9-9331-F28EC2D31814}">
  <ds:schemaRefs/>
</ds:datastoreItem>
</file>

<file path=customXml/itemProps4.xml><?xml version="1.0" encoding="utf-8"?>
<ds:datastoreItem xmlns:ds="http://schemas.openxmlformats.org/officeDocument/2006/customXml" ds:itemID="{7CB65576-7B66-4A6B-B561-1746FCB3AC3D}">
  <ds:schemaRefs/>
</ds:datastoreItem>
</file>

<file path=customXml/itemProps5.xml><?xml version="1.0" encoding="utf-8"?>
<ds:datastoreItem xmlns:ds="http://schemas.openxmlformats.org/officeDocument/2006/customXml" ds:itemID="{A717BC1A-F343-46CC-8703-91B85E51E513}">
  <ds:schemaRefs/>
</ds:datastoreItem>
</file>

<file path=customXml/itemProps6.xml><?xml version="1.0" encoding="utf-8"?>
<ds:datastoreItem xmlns:ds="http://schemas.openxmlformats.org/officeDocument/2006/customXml" ds:itemID="{BCB9A01F-43D3-43B2-8BFC-6A1E2D211C9C}">
  <ds:schemaRefs/>
</ds:datastoreItem>
</file>

<file path=customXml/itemProps7.xml><?xml version="1.0" encoding="utf-8"?>
<ds:datastoreItem xmlns:ds="http://schemas.openxmlformats.org/officeDocument/2006/customXml" ds:itemID="{DAA60E46-C4CC-4A32-8E5E-0E02E18B73C2}">
  <ds:schemaRefs/>
</ds:datastoreItem>
</file>

<file path=customXml/itemProps8.xml><?xml version="1.0" encoding="utf-8"?>
<ds:datastoreItem xmlns:ds="http://schemas.openxmlformats.org/officeDocument/2006/customXml" ds:itemID="{EDFD69E3-3C20-4CD1-B99F-B1F40D329039}">
  <ds:schemaRefs/>
</ds:datastoreItem>
</file>

<file path=customXml/itemProps9.xml><?xml version="1.0" encoding="utf-8"?>
<ds:datastoreItem xmlns:ds="http://schemas.openxmlformats.org/officeDocument/2006/customXml" ds:itemID="{026E8142-D367-473F-9E80-DB59B7274A2C}">
  <ds:schemaRefs/>
</ds:datastoreItem>
</file>

<file path=customXml/itemProps10.xml><?xml version="1.0" encoding="utf-8"?>
<ds:datastoreItem xmlns:ds="http://schemas.openxmlformats.org/officeDocument/2006/customXml" ds:itemID="{E227EED0-8DC2-4FCD-BDC3-A5DB5E98FDA8}">
  <ds:schemaRefs/>
</ds:datastoreItem>
</file>

<file path=customXml/itemProps11.xml><?xml version="1.0" encoding="utf-8"?>
<ds:datastoreItem xmlns:ds="http://schemas.openxmlformats.org/officeDocument/2006/customXml" ds:itemID="{060D7E3E-C904-4C1B-BDBF-5813C11E5E29}">
  <ds:schemaRefs/>
</ds:datastoreItem>
</file>

<file path=customXml/itemProps12.xml><?xml version="1.0" encoding="utf-8"?>
<ds:datastoreItem xmlns:ds="http://schemas.openxmlformats.org/officeDocument/2006/customXml" ds:itemID="{692B2B3B-9B26-4DA5-9432-7E6CFE779C3E}">
  <ds:schemaRefs/>
</ds:datastoreItem>
</file>

<file path=customXml/itemProps13.xml><?xml version="1.0" encoding="utf-8"?>
<ds:datastoreItem xmlns:ds="http://schemas.openxmlformats.org/officeDocument/2006/customXml" ds:itemID="{ACE10AD5-2095-40DB-BDF0-FEF45BD1B1FE}">
  <ds:schemaRefs/>
</ds:datastoreItem>
</file>

<file path=customXml/itemProps14.xml><?xml version="1.0" encoding="utf-8"?>
<ds:datastoreItem xmlns:ds="http://schemas.openxmlformats.org/officeDocument/2006/customXml" ds:itemID="{B4FDB5AA-2FA4-4A5B-AA25-58F3320E644C}">
  <ds:schemaRefs/>
</ds:datastoreItem>
</file>

<file path=customXml/itemProps15.xml><?xml version="1.0" encoding="utf-8"?>
<ds:datastoreItem xmlns:ds="http://schemas.openxmlformats.org/officeDocument/2006/customXml" ds:itemID="{8237F0A1-0616-498C-A55D-B6CB17851880}">
  <ds:schemaRefs/>
</ds:datastoreItem>
</file>

<file path=customXml/itemProps16.xml><?xml version="1.0" encoding="utf-8"?>
<ds:datastoreItem xmlns:ds="http://schemas.openxmlformats.org/officeDocument/2006/customXml" ds:itemID="{E3E74266-9BC7-438E-8699-06FA4AEA7CEC}">
  <ds:schemaRefs/>
</ds:datastoreItem>
</file>

<file path=customXml/itemProps17.xml><?xml version="1.0" encoding="utf-8"?>
<ds:datastoreItem xmlns:ds="http://schemas.openxmlformats.org/officeDocument/2006/customXml" ds:itemID="{A1742240-BFBD-4200-865C-1DF4563019E2}">
  <ds:schemaRefs/>
</ds:datastoreItem>
</file>

<file path=customXml/itemProps18.xml><?xml version="1.0" encoding="utf-8"?>
<ds:datastoreItem xmlns:ds="http://schemas.openxmlformats.org/officeDocument/2006/customXml" ds:itemID="{BAB9CE69-D5E7-44A6-8B6C-5D20E443E9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Review page</vt:lpstr>
      <vt:lpstr>Pivot table</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Chisom</dc:creator>
  <cp:lastModifiedBy>Chisom</cp:lastModifiedBy>
  <dcterms:created xsi:type="dcterms:W3CDTF">2025-10-17T20:54:51Z</dcterms:created>
  <dcterms:modified xsi:type="dcterms:W3CDTF">2026-04-22T13:50:32Z</dcterms:modified>
</cp:coreProperties>
</file>